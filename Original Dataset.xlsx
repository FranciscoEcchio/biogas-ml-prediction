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xr:revisionPtr revIDLastSave="0" documentId="8_{835A9590-4F93-418C-BE47-FA740F8139C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5" i="1" l="1"/>
</calcChain>
</file>

<file path=xl/sharedStrings.xml><?xml version="1.0" encoding="utf-8"?>
<sst xmlns="http://schemas.openxmlformats.org/spreadsheetml/2006/main" count="1839" uniqueCount="828">
  <si>
    <t>Estudio</t>
  </si>
  <si>
    <t>N° Experimento</t>
  </si>
  <si>
    <t>Sustrato (Mezcla)</t>
  </si>
  <si>
    <t>Volumen del reactor [mL]</t>
  </si>
  <si>
    <t>Volumen trabajo reactor [mL]</t>
  </si>
  <si>
    <t>Tipo de Inóculo</t>
  </si>
  <si>
    <t>Fuente del Inóculo</t>
  </si>
  <si>
    <t>Inóculo [mL]</t>
  </si>
  <si>
    <t>TS inicial (%)</t>
  </si>
  <si>
    <t>Sólidos Totales (TS) [g/L]</t>
  </si>
  <si>
    <t>TVS inicial (%)</t>
  </si>
  <si>
    <t>Sólidos Volátiles Totales inicial  (TVS) [g/L]</t>
  </si>
  <si>
    <t>Relación C/N</t>
  </si>
  <si>
    <t>Contenido Lignina [%]</t>
  </si>
  <si>
    <t>Contenido de Fibra (celulosa + hemicelulosa) [% TS]</t>
  </si>
  <si>
    <t>Demanda Química de Oxígeno Total (TCOD) [mg/L]</t>
  </si>
  <si>
    <t>Demanda Química de Oxígeno Soluble (SCOD) [mg/L]</t>
  </si>
  <si>
    <t>Ácidos Grasos Volátiles Iniciales (VFA) [mg/L]</t>
  </si>
  <si>
    <t>NH3 [mg/L]</t>
  </si>
  <si>
    <t>Temperatura [°C]</t>
  </si>
  <si>
    <t>Tipo Temperatura</t>
  </si>
  <si>
    <t>HRT [días]</t>
  </si>
  <si>
    <t>pH inicial</t>
  </si>
  <si>
    <t>Alcalinidad [mg CaCO₃/L]</t>
  </si>
  <si>
    <t>Velocidad de Carga Orgánica (OLR) [gTVS/L*d]</t>
  </si>
  <si>
    <t>Agitación [rpm]</t>
  </si>
  <si>
    <t>Producción total biogás [mL/g VS]</t>
  </si>
  <si>
    <t>Volumen Total de Metano Acumulado [ml/g VS]</t>
  </si>
  <si>
    <t>Rendimiento CH₄ [ml/g VS] (Funcionamás para sólidos)</t>
  </si>
  <si>
    <t>Sólidos Volátiles Totales finales (TVS) [g/L]</t>
  </si>
  <si>
    <t>% Remoción TVS</t>
  </si>
  <si>
    <t>NH3 Final [mg/L]</t>
  </si>
  <si>
    <t xml:space="preserve">Porcentaje de CH4 en biogás (%) </t>
  </si>
  <si>
    <t>Grado de Conversión [%]</t>
  </si>
  <si>
    <t>Tasa máxima de producción de metano (Rm) [mL CH₄/h]</t>
  </si>
  <si>
    <t>Tiempo hasta el pico de producción [d]</t>
  </si>
  <si>
    <t>pH final</t>
  </si>
  <si>
    <t>Ácidos Grasos Volátiles Finales (VFA) [mg/L AcH eq.]</t>
  </si>
  <si>
    <t>Alcalinidad final [mg CaCO₃/L]</t>
  </si>
  <si>
    <t>Application of Anaerobic Co‑digestion of Brewery by‑Products
for Biomethane and Bioenergy Production in a Biorefnery Concept</t>
  </si>
  <si>
    <t xml:space="preserve">BMP-1 (control) </t>
  </si>
  <si>
    <t>WW + sludge (1:1), 0% BSG</t>
  </si>
  <si>
    <t>Lodo granular UASB</t>
  </si>
  <si>
    <t>Granular sludge from brewery wastewater treatment UASB (Heineken, Sevilla, Spain)</t>
  </si>
  <si>
    <t>4.02</t>
  </si>
  <si>
    <t>40.2</t>
  </si>
  <si>
    <t>2.57</t>
  </si>
  <si>
    <t>25.7</t>
  </si>
  <si>
    <t>34.8</t>
  </si>
  <si>
    <t>5116.8</t>
  </si>
  <si>
    <t>5362.8</t>
  </si>
  <si>
    <t>589.1</t>
  </si>
  <si>
    <t>65.2</t>
  </si>
  <si>
    <t>Mesofílica</t>
  </si>
  <si>
    <t>7.85</t>
  </si>
  <si>
    <t>800.3</t>
  </si>
  <si>
    <t>1.51</t>
  </si>
  <si>
    <t>4.26</t>
  </si>
  <si>
    <t>13.16</t>
  </si>
  <si>
    <t>13.8</t>
  </si>
  <si>
    <t>46.3</t>
  </si>
  <si>
    <t>276.7</t>
  </si>
  <si>
    <t>62.5</t>
  </si>
  <si>
    <t>99.96</t>
  </si>
  <si>
    <t>0.64</t>
  </si>
  <si>
    <t>7.98</t>
  </si>
  <si>
    <t>—</t>
  </si>
  <si>
    <t>3020.2</t>
  </si>
  <si>
    <t>BMP-2</t>
  </si>
  <si>
    <t xml:space="preserve"> WW + sludge (1:1) + 2.5% BSG</t>
  </si>
  <si>
    <t>4.69</t>
  </si>
  <si>
    <t>46.9</t>
  </si>
  <si>
    <t>3.33</t>
  </si>
  <si>
    <t>33.3</t>
  </si>
  <si>
    <t>31.6</t>
  </si>
  <si>
    <t>6199.2</t>
  </si>
  <si>
    <t>537.6</t>
  </si>
  <si>
    <t>80.3</t>
  </si>
  <si>
    <t>7.51</t>
  </si>
  <si>
    <t>850.3</t>
  </si>
  <si>
    <t>1.96</t>
  </si>
  <si>
    <t>69.3</t>
  </si>
  <si>
    <t>18.5</t>
  </si>
  <si>
    <t>44.4</t>
  </si>
  <si>
    <t>462.5</t>
  </si>
  <si>
    <t>7.79</t>
  </si>
  <si>
    <t>10.6</t>
  </si>
  <si>
    <t>3980.4</t>
  </si>
  <si>
    <t xml:space="preserve">BMP-3 </t>
  </si>
  <si>
    <t>WW + sludge (1:1) + 5% BSG</t>
  </si>
  <si>
    <t>3.48</t>
  </si>
  <si>
    <t>2.15</t>
  </si>
  <si>
    <t>21.5</t>
  </si>
  <si>
    <t>15.9</t>
  </si>
  <si>
    <t>2115.6</t>
  </si>
  <si>
    <t>531.7</t>
  </si>
  <si>
    <t>115.2</t>
  </si>
  <si>
    <t>1200.3</t>
  </si>
  <si>
    <t>1.27</t>
  </si>
  <si>
    <t>105.5</t>
  </si>
  <si>
    <t>41.4</t>
  </si>
  <si>
    <t>546.4</t>
  </si>
  <si>
    <t>99.94</t>
  </si>
  <si>
    <t>0.96</t>
  </si>
  <si>
    <t>7.71</t>
  </si>
  <si>
    <t>10.1</t>
  </si>
  <si>
    <t>4320.1</t>
  </si>
  <si>
    <t xml:space="preserve">BMP-4 </t>
  </si>
  <si>
    <t>WW + sludge (1:1) + 7.5% BSG</t>
  </si>
  <si>
    <t>4.84</t>
  </si>
  <si>
    <t>48.3</t>
  </si>
  <si>
    <t>3.45</t>
  </si>
  <si>
    <t>34.5</t>
  </si>
  <si>
    <t>33.9</t>
  </si>
  <si>
    <t>3271.8</t>
  </si>
  <si>
    <t>474.4</t>
  </si>
  <si>
    <t>130.5</t>
  </si>
  <si>
    <t>7.75</t>
  </si>
  <si>
    <t>1300.2</t>
  </si>
  <si>
    <t>2.03</t>
  </si>
  <si>
    <t>253.3</t>
  </si>
  <si>
    <t>22.3</t>
  </si>
  <si>
    <t>664.6</t>
  </si>
  <si>
    <t>99.92</t>
  </si>
  <si>
    <t>1.29</t>
  </si>
  <si>
    <t>7.68</t>
  </si>
  <si>
    <t>4700.1</t>
  </si>
  <si>
    <t>BMP-5</t>
  </si>
  <si>
    <t>WW + sludge (1:1) + 12.5% BSG</t>
  </si>
  <si>
    <t>5.82</t>
  </si>
  <si>
    <t>58.2</t>
  </si>
  <si>
    <t>4.44</t>
  </si>
  <si>
    <t>33.1</t>
  </si>
  <si>
    <t>3985.2</t>
  </si>
  <si>
    <t>50.1</t>
  </si>
  <si>
    <t>7.67</t>
  </si>
  <si>
    <t>950.4</t>
  </si>
  <si>
    <t>2.61</t>
  </si>
  <si>
    <t>468.9</t>
  </si>
  <si>
    <t>25.6</t>
  </si>
  <si>
    <t>42.3</t>
  </si>
  <si>
    <t>820.6</t>
  </si>
  <si>
    <t>99.93</t>
  </si>
  <si>
    <t>1.18</t>
  </si>
  <si>
    <t>7.62</t>
  </si>
  <si>
    <t>10.3</t>
  </si>
  <si>
    <t>4840.8</t>
  </si>
  <si>
    <t>Biovalorization of Brewery Waste by Applying Anaerobic Digestion</t>
  </si>
  <si>
    <t>BSG (Brewer’s Spent Grain)</t>
  </si>
  <si>
    <t>Bagazo Cervecero</t>
  </si>
  <si>
    <t>Lodo anaerobio WWTP</t>
  </si>
  <si>
    <t>Digestor de lodos + OFMSW</t>
  </si>
  <si>
    <t>18.7</t>
  </si>
  <si>
    <t>97.5</t>
  </si>
  <si>
    <t>12.4</t>
  </si>
  <si>
    <t>12.3</t>
  </si>
  <si>
    <t>49.2</t>
  </si>
  <si>
    <t>1.48</t>
  </si>
  <si>
    <t>9.1</t>
  </si>
  <si>
    <t>7.2</t>
  </si>
  <si>
    <t>52.4</t>
  </si>
  <si>
    <t>81.1</t>
  </si>
  <si>
    <t>4.5</t>
  </si>
  <si>
    <t>7.4</t>
  </si>
  <si>
    <t>BY (Brewery Yeast)</t>
  </si>
  <si>
    <t>Levadura Residual</t>
  </si>
  <si>
    <t>92.3</t>
  </si>
  <si>
    <t>5.2</t>
  </si>
  <si>
    <t>32.9</t>
  </si>
  <si>
    <t>55.1</t>
  </si>
  <si>
    <t>72.9</t>
  </si>
  <si>
    <t>1.5</t>
  </si>
  <si>
    <t>Effect of temperature and bagasse addition on anaerobic co-digestion of brewery waste by biochemical methane potential test.</t>
  </si>
  <si>
    <t>M1</t>
  </si>
  <si>
    <t>BWW + MI</t>
  </si>
  <si>
    <t>Sludge mesófilo</t>
  </si>
  <si>
    <t>WWTP Guadalete</t>
  </si>
  <si>
    <t>2.5</t>
  </si>
  <si>
    <t>25.15</t>
  </si>
  <si>
    <t>2.46</t>
  </si>
  <si>
    <t>24.63</t>
  </si>
  <si>
    <t>25.12</t>
  </si>
  <si>
    <t>0.5</t>
  </si>
  <si>
    <t>7.39</t>
  </si>
  <si>
    <t>104.1</t>
  </si>
  <si>
    <t>104.2</t>
  </si>
  <si>
    <t>1.13</t>
  </si>
  <si>
    <t>95.41</t>
  </si>
  <si>
    <t>61.5</t>
  </si>
  <si>
    <t>191.74</t>
  </si>
  <si>
    <t>0.2</t>
  </si>
  <si>
    <t>9.12</t>
  </si>
  <si>
    <t>M2</t>
  </si>
  <si>
    <t>BWW + BSG + MI</t>
  </si>
  <si>
    <t>2.9</t>
  </si>
  <si>
    <t>29.12</t>
  </si>
  <si>
    <t>29.07</t>
  </si>
  <si>
    <t>21.38</t>
  </si>
  <si>
    <t>7.56</t>
  </si>
  <si>
    <t>5.97</t>
  </si>
  <si>
    <t>79.46</t>
  </si>
  <si>
    <t>744.68</t>
  </si>
  <si>
    <t>0.25</t>
  </si>
  <si>
    <t>8.23</t>
  </si>
  <si>
    <t>T1</t>
  </si>
  <si>
    <t>BWW + TI</t>
  </si>
  <si>
    <t>Sludge termófilo</t>
  </si>
  <si>
    <t>2.6</t>
  </si>
  <si>
    <t>26.47</t>
  </si>
  <si>
    <t>26.08</t>
  </si>
  <si>
    <t>Termofílica</t>
  </si>
  <si>
    <t>7.87</t>
  </si>
  <si>
    <t>3.56</t>
  </si>
  <si>
    <t>86.36</t>
  </si>
  <si>
    <t>243.48</t>
  </si>
  <si>
    <t>0.85</t>
  </si>
  <si>
    <t>8.25</t>
  </si>
  <si>
    <t>T2</t>
  </si>
  <si>
    <t>BWW + BSG + TI</t>
  </si>
  <si>
    <t>28.83</t>
  </si>
  <si>
    <t>2.8</t>
  </si>
  <si>
    <t>28.17</t>
  </si>
  <si>
    <t>7.9</t>
  </si>
  <si>
    <t>6.91</t>
  </si>
  <si>
    <t>75.48</t>
  </si>
  <si>
    <t>260.19</t>
  </si>
  <si>
    <t>0.35</t>
  </si>
  <si>
    <t>6.43</t>
  </si>
  <si>
    <t>Technological and Energetic Aspects of Multi-Component Co-Digestion of the Beverage Industry Wastes and Municipal Sewage Sludge</t>
  </si>
  <si>
    <t>R6</t>
  </si>
  <si>
    <t>Lodos + Cáscara Naranja + BSG</t>
  </si>
  <si>
    <t>Meso</t>
  </si>
  <si>
    <t>WWTP Lublin</t>
  </si>
  <si>
    <t>6.25</t>
  </si>
  <si>
    <t>1.8</t>
  </si>
  <si>
    <t>3.5</t>
  </si>
  <si>
    <t>13.3</t>
  </si>
  <si>
    <t>0.02</t>
  </si>
  <si>
    <t>7.44</t>
  </si>
  <si>
    <t>R7</t>
  </si>
  <si>
    <t>Lodos + Pulpa Naranja + BSG</t>
  </si>
  <si>
    <t>6.30</t>
  </si>
  <si>
    <t>15.1</t>
  </si>
  <si>
    <t>7.45</t>
  </si>
  <si>
    <t>R8</t>
  </si>
  <si>
    <t>Lodos + Pulpa Naranja + BSG (alta carga)</t>
  </si>
  <si>
    <t>1.7</t>
  </si>
  <si>
    <t>1.2</t>
  </si>
  <si>
    <t>6.20</t>
  </si>
  <si>
    <t>18.8</t>
  </si>
  <si>
    <t>Evaluation of Biochemical Methane Potential and Kinetics of Organic Waste Streams for Enhanced Biogas Production</t>
  </si>
  <si>
    <t>BW (ISR 1)</t>
  </si>
  <si>
    <t>Brewery waste (spent grain)</t>
  </si>
  <si>
    <t>Lodo anaerobio</t>
  </si>
  <si>
    <t>Planta de aguas servidas (Cluj)</t>
  </si>
  <si>
    <t>387.2</t>
  </si>
  <si>
    <t>19.05</t>
  </si>
  <si>
    <t>95.5</t>
  </si>
  <si>
    <t>22.92</t>
  </si>
  <si>
    <t>20.1</t>
  </si>
  <si>
    <t>57.4</t>
  </si>
  <si>
    <t>6.6</t>
  </si>
  <si>
    <t>463.5</t>
  </si>
  <si>
    <t>463.53</t>
  </si>
  <si>
    <t>95.7</t>
  </si>
  <si>
    <t>35.9</t>
  </si>
  <si>
    <t>3.89</t>
  </si>
  <si>
    <t>7.3</t>
  </si>
  <si>
    <t>BW (ISR 2)</t>
  </si>
  <si>
    <t>393.5</t>
  </si>
  <si>
    <t>460.6</t>
  </si>
  <si>
    <t>460.62</t>
  </si>
  <si>
    <t>91.6</t>
  </si>
  <si>
    <t>4.96</t>
  </si>
  <si>
    <t>Investigation of Biogas Production by Co-digestion of Brewery Wastewater and Brewery Spent Yeast</t>
  </si>
  <si>
    <t>A (0 %)</t>
  </si>
  <si>
    <t>Brewery wastewater (control)</t>
  </si>
  <si>
    <t>Sludge</t>
  </si>
  <si>
    <t>St. George Brewery</t>
  </si>
  <si>
    <t>12.0</t>
  </si>
  <si>
    <t>0.9</t>
  </si>
  <si>
    <t>9.0</t>
  </si>
  <si>
    <t>5.0</t>
  </si>
  <si>
    <t>1.6</t>
  </si>
  <si>
    <t>10.2</t>
  </si>
  <si>
    <t>7.0</t>
  </si>
  <si>
    <t>B (1 %)</t>
  </si>
  <si>
    <t>BWW + 1 % Yeast</t>
  </si>
  <si>
    <t>15.0</t>
  </si>
  <si>
    <t>1.1</t>
  </si>
  <si>
    <t>11.0</t>
  </si>
  <si>
    <t>6.5</t>
  </si>
  <si>
    <t>4.0</t>
  </si>
  <si>
    <t>14.6</t>
  </si>
  <si>
    <t>C (6 %)</t>
  </si>
  <si>
    <t>BWW + 6 % Yeast</t>
  </si>
  <si>
    <t>17.0</t>
  </si>
  <si>
    <t>1.3</t>
  </si>
  <si>
    <t>13.0</t>
  </si>
  <si>
    <t>D (11 %)</t>
  </si>
  <si>
    <t>BWW + 11 % Yeast</t>
  </si>
  <si>
    <t>2.0</t>
  </si>
  <si>
    <t>20.0</t>
  </si>
  <si>
    <t>6.0</t>
  </si>
  <si>
    <t>9.2</t>
  </si>
  <si>
    <t>7.1</t>
  </si>
  <si>
    <t>E (100 %)</t>
  </si>
  <si>
    <t>Spent yeast (puro)</t>
  </si>
  <si>
    <t>2.1</t>
  </si>
  <si>
    <t>21.0</t>
  </si>
  <si>
    <t>16.0</t>
  </si>
  <si>
    <t>8.0</t>
  </si>
  <si>
    <t>Biomethane Recovery Potential from Brewer’s Yeast using Two-Stage Anaerobic Digestion</t>
  </si>
  <si>
    <t>R1</t>
  </si>
  <si>
    <t>Brewery spent yeast (BSY)</t>
  </si>
  <si>
    <t>Sludge anaeróbico</t>
  </si>
  <si>
    <t>WWTP cervecera</t>
  </si>
  <si>
    <t>3.8</t>
  </si>
  <si>
    <t>3.1</t>
  </si>
  <si>
    <t>8.5</t>
  </si>
  <si>
    <t>6.9</t>
  </si>
  <si>
    <t>1.24</t>
  </si>
  <si>
    <t>9.3</t>
  </si>
  <si>
    <t>13.4</t>
  </si>
  <si>
    <t>7.8</t>
  </si>
  <si>
    <t>R2</t>
  </si>
  <si>
    <t>BSY (two-stage)</t>
  </si>
  <si>
    <t>6.3</t>
  </si>
  <si>
    <t>6.8</t>
  </si>
  <si>
    <t>15.7</t>
  </si>
  <si>
    <t>2.2</t>
  </si>
  <si>
    <t>7.7</t>
  </si>
  <si>
    <t xml:space="preserve">Study of Anaerobic digestion of Brewery Spent Grains
</t>
  </si>
  <si>
    <t>Trial C</t>
  </si>
  <si>
    <t>BSG</t>
  </si>
  <si>
    <t>Digestor anaerobio previo</t>
  </si>
  <si>
    <t>83.2</t>
  </si>
  <si>
    <t>19.5</t>
  </si>
  <si>
    <t>7.25</t>
  </si>
  <si>
    <t>0.411</t>
  </si>
  <si>
    <t>10.19</t>
  </si>
  <si>
    <t>58.9</t>
  </si>
  <si>
    <t>67.5</t>
  </si>
  <si>
    <t>0.698</t>
  </si>
  <si>
    <t>7.72</t>
  </si>
  <si>
    <t>Trial D</t>
  </si>
  <si>
    <t>550.5</t>
  </si>
  <si>
    <t>5.58</t>
  </si>
  <si>
    <t>0.44</t>
  </si>
  <si>
    <t>22.62</t>
  </si>
  <si>
    <t>58.1</t>
  </si>
  <si>
    <t>0.758</t>
  </si>
  <si>
    <t>Trial E</t>
  </si>
  <si>
    <t>208.5</t>
  </si>
  <si>
    <t>7.73</t>
  </si>
  <si>
    <t>5.02</t>
  </si>
  <si>
    <t>0.596</t>
  </si>
  <si>
    <t>28.53</t>
  </si>
  <si>
    <t>65.7</t>
  </si>
  <si>
    <t>0.907</t>
  </si>
  <si>
    <t>7.63</t>
  </si>
  <si>
    <t>Trial F</t>
  </si>
  <si>
    <t>70.4</t>
  </si>
  <si>
    <t>3.52</t>
  </si>
  <si>
    <t>0.34</t>
  </si>
  <si>
    <t>49.1</t>
  </si>
  <si>
    <t>30.3</t>
  </si>
  <si>
    <t>1.12</t>
  </si>
  <si>
    <t>13.5</t>
  </si>
  <si>
    <t>7.5</t>
  </si>
  <si>
    <t>Enhancement of Biogas Production via Co-Digestion of
Wastewater Treatment Sewage Sludge and Brewery Spent Grain:
Physicochemical Characterization and Microbial Community</t>
  </si>
  <si>
    <t>Lodo activado (control)</t>
  </si>
  <si>
    <t>Sludge digerido</t>
  </si>
  <si>
    <t>WWTP local</t>
  </si>
  <si>
    <t>1.9</t>
  </si>
  <si>
    <t>8.7</t>
  </si>
  <si>
    <t>7.6</t>
  </si>
  <si>
    <t>9.6</t>
  </si>
  <si>
    <t>75 % Sludge + 25 % BSG</t>
  </si>
  <si>
    <t>3.0</t>
  </si>
  <si>
    <t>2.4</t>
  </si>
  <si>
    <t>6.2</t>
  </si>
  <si>
    <t>11.9</t>
  </si>
  <si>
    <t>5.8</t>
  </si>
  <si>
    <t>R3</t>
  </si>
  <si>
    <t>50 % Sludge + 50 % BSG</t>
  </si>
  <si>
    <t>3.4</t>
  </si>
  <si>
    <t>1.4</t>
  </si>
  <si>
    <t>5.5</t>
  </si>
  <si>
    <t>13.7</t>
  </si>
  <si>
    <t>Treatment of Small-Scale Brewery Wastewater - Anaerobic Biochemical Methane Potential (BMP} Trials and Moving Bed Biofilm Reactor (MBBR) Field Study</t>
  </si>
  <si>
    <t>Trial 1</t>
  </si>
  <si>
    <t>Aguas residuales cerveceras + estiércol lácteo</t>
  </si>
  <si>
    <t>Digestato anaerobio de estiércol lácteo</t>
  </si>
  <si>
    <t>Reactor anaerobio lechero</t>
  </si>
  <si>
    <t>39.7</t>
  </si>
  <si>
    <t>21.05</t>
  </si>
  <si>
    <t>Psicrofílica</t>
  </si>
  <si>
    <t>Trial 2</t>
  </si>
  <si>
    <t>Trial 3</t>
  </si>
  <si>
    <t>3.2</t>
  </si>
  <si>
    <t>Biogas production from malt bagasse from craft beer industry: kinetic modeling and process simulation</t>
  </si>
  <si>
    <t>Experimento 1</t>
  </si>
  <si>
    <t>Bagazo de malta</t>
  </si>
  <si>
    <t>Lodo granular anaerobio</t>
  </si>
  <si>
    <t>WWTP Musashi</t>
  </si>
  <si>
    <t>20.32</t>
  </si>
  <si>
    <t>203.2</t>
  </si>
  <si>
    <t>79.68</t>
  </si>
  <si>
    <t>161.8</t>
  </si>
  <si>
    <t>12.87</t>
  </si>
  <si>
    <t>Experimento 2</t>
  </si>
  <si>
    <t>20.33</t>
  </si>
  <si>
    <t>Experimento 3</t>
  </si>
  <si>
    <t>20.34</t>
  </si>
  <si>
    <t>Study of Anaerobic Digestion of Brewery Spent Grains</t>
  </si>
  <si>
    <t>D</t>
  </si>
  <si>
    <t>Bagazo cervecero</t>
  </si>
  <si>
    <t>Lodo anaerobio (aclimatado)</t>
  </si>
  <si>
    <t>Digestor industrial</t>
  </si>
  <si>
    <t>1.03</t>
  </si>
  <si>
    <t>C</t>
  </si>
  <si>
    <t>2.7</t>
  </si>
  <si>
    <t>E</t>
  </si>
  <si>
    <t>4.89</t>
  </si>
  <si>
    <t>22.53</t>
  </si>
  <si>
    <t>F</t>
  </si>
  <si>
    <t>Anaerobic digestion of brewer's spent grain with biochars-boimethane production and disgestate queality effects</t>
  </si>
  <si>
    <t>1 (Control)</t>
  </si>
  <si>
    <t>BSG sin biochar</t>
  </si>
  <si>
    <t>Planta biogás municipal</t>
  </si>
  <si>
    <t>18.9</t>
  </si>
  <si>
    <t>13.2</t>
  </si>
  <si>
    <t>54.7</t>
  </si>
  <si>
    <t>11.5</t>
  </si>
  <si>
    <t>2 (Pine 2%)</t>
  </si>
  <si>
    <t>BSG + 2% BC-Pine</t>
  </si>
  <si>
    <t>11.8</t>
  </si>
  <si>
    <t>3 (Willow 10%)</t>
  </si>
  <si>
    <t>BSG + 10% BC-Willow</t>
  </si>
  <si>
    <t>4 (Oat 10%)</t>
  </si>
  <si>
    <t>BSG + 10% BC-Oat hulls</t>
  </si>
  <si>
    <t>12.1</t>
  </si>
  <si>
    <t>5 (Corncob 50%)</t>
  </si>
  <si>
    <t>BSG + 50% BC-Corncob</t>
  </si>
  <si>
    <t>11.7</t>
  </si>
  <si>
    <t>Dry Anaerobic Digestion of Brewer’s Spent Grains toward a More Sustainable Brewery: Operational Performance, Kinetic Analysis, and Bioenergy Potential</t>
  </si>
  <si>
    <t>BSG-AD</t>
  </si>
  <si>
    <t>BSG (25%) + Inóculo (45%) + Agua (30%)</t>
  </si>
  <si>
    <t>Granular mesofílico</t>
  </si>
  <si>
    <t>UASB (aguas residuales, Coca-Cola Jundiaí, Brasil)</t>
  </si>
  <si>
    <t>17.06</t>
  </si>
  <si>
    <t>170.6</t>
  </si>
  <si>
    <t>15.01</t>
  </si>
  <si>
    <t>3.34</t>
  </si>
  <si>
    <t>16239.6</t>
  </si>
  <si>
    <t>118.36</t>
  </si>
  <si>
    <t>6.11</t>
  </si>
  <si>
    <t>189.04</t>
  </si>
  <si>
    <t>3.75</t>
  </si>
  <si>
    <t>19.4</t>
  </si>
  <si>
    <t>10.53</t>
  </si>
  <si>
    <t>2.12</t>
  </si>
  <si>
    <t>82.12</t>
  </si>
  <si>
    <t>350.20</t>
  </si>
  <si>
    <t>8.19</t>
  </si>
  <si>
    <t>8.53</t>
  </si>
  <si>
    <t>717.46</t>
  </si>
  <si>
    <t>Anaerobic Co-Digestion of Cattle Manure and Brewer’s Residual Yeast: Process Stability and Methane and Hydrogen Sulfide Production</t>
  </si>
  <si>
    <t>0% RY</t>
  </si>
  <si>
    <t>100:0 (CM)</t>
  </si>
  <si>
    <t>Lodo digerido</t>
  </si>
  <si>
    <t>Biodigestor lechero</t>
  </si>
  <si>
    <t>15.06</t>
  </si>
  <si>
    <t>72.95</t>
  </si>
  <si>
    <t>10.96</t>
  </si>
  <si>
    <t>25.17</t>
  </si>
  <si>
    <t>7936.4</t>
  </si>
  <si>
    <t>612.8</t>
  </si>
  <si>
    <t>1.0</t>
  </si>
  <si>
    <t xml:space="preserve">25.2 </t>
  </si>
  <si>
    <t>6.88</t>
  </si>
  <si>
    <t>0.42</t>
  </si>
  <si>
    <t>357.2</t>
  </si>
  <si>
    <t>247.5</t>
  </si>
  <si>
    <t>4.32</t>
  </si>
  <si>
    <t>60.6</t>
  </si>
  <si>
    <t>0.7</t>
  </si>
  <si>
    <t>64.3</t>
  </si>
  <si>
    <t>7.16</t>
  </si>
  <si>
    <t>12% RY</t>
  </si>
  <si>
    <t>88:12 (CM:RY)</t>
  </si>
  <si>
    <t>1.74</t>
  </si>
  <si>
    <t>17.43</t>
  </si>
  <si>
    <t>71.2</t>
  </si>
  <si>
    <t>12.41</t>
  </si>
  <si>
    <t>19.59</t>
  </si>
  <si>
    <t>25.2</t>
  </si>
  <si>
    <t>6.97</t>
  </si>
  <si>
    <t>378.1</t>
  </si>
  <si>
    <t>259.2</t>
  </si>
  <si>
    <t>3.55</t>
  </si>
  <si>
    <t>71.4</t>
  </si>
  <si>
    <t>5.4</t>
  </si>
  <si>
    <t>7.19</t>
  </si>
  <si>
    <t>22% RY</t>
  </si>
  <si>
    <t>78:22 (CM:RY)</t>
  </si>
  <si>
    <t>1.81</t>
  </si>
  <si>
    <t>18.09</t>
  </si>
  <si>
    <t>73.1</t>
  </si>
  <si>
    <t>13.22</t>
  </si>
  <si>
    <t>16.47</t>
  </si>
  <si>
    <t>7.07</t>
  </si>
  <si>
    <t>400.3</t>
  </si>
  <si>
    <t>271.4</t>
  </si>
  <si>
    <t>73.6</t>
  </si>
  <si>
    <t>6.7</t>
  </si>
  <si>
    <t>63.4</t>
  </si>
  <si>
    <t>7.33</t>
  </si>
  <si>
    <t>32% RY</t>
  </si>
  <si>
    <t>68:32 (CM:RY)</t>
  </si>
  <si>
    <t>1.90</t>
  </si>
  <si>
    <t>19.02</t>
  </si>
  <si>
    <t>74.9</t>
  </si>
  <si>
    <t>14.24</t>
  </si>
  <si>
    <t>14.48</t>
  </si>
  <si>
    <t>425.7</t>
  </si>
  <si>
    <t>289.3</t>
  </si>
  <si>
    <t>3.29</t>
  </si>
  <si>
    <t>76.9</t>
  </si>
  <si>
    <t>63.2</t>
  </si>
  <si>
    <t>Evaluating biomechanical methane production from brewer's spent yeast</t>
  </si>
  <si>
    <t>SY1 50 %</t>
  </si>
  <si>
    <t>Levadura residual cervecera (IPA, 48 IBU)</t>
  </si>
  <si>
    <t>MNWWRP</t>
  </si>
  <si>
    <t>0.82</t>
  </si>
  <si>
    <t>8.2</t>
  </si>
  <si>
    <t xml:space="preserve"> 0.18</t>
  </si>
  <si>
    <t>27.9</t>
  </si>
  <si>
    <t>20.83</t>
  </si>
  <si>
    <t>3.9</t>
  </si>
  <si>
    <t>SY2 25 %</t>
  </si>
  <si>
    <t>Levadura residual (Trigo, 17 IBU)</t>
  </si>
  <si>
    <t>10.9</t>
  </si>
  <si>
    <t xml:space="preserve"> 0.30</t>
  </si>
  <si>
    <t>67.9</t>
  </si>
  <si>
    <t>14.86</t>
  </si>
  <si>
    <t>SY3 25 %</t>
  </si>
  <si>
    <t>Levadura residual (Malta oscura, 55 IBU)</t>
  </si>
  <si>
    <t>1.19</t>
  </si>
  <si>
    <t>0.31</t>
  </si>
  <si>
    <t>42.2</t>
  </si>
  <si>
    <t>150.34</t>
  </si>
  <si>
    <t>Anaerobic digestion of brewer's spent grain in a novel plug flow reactor system</t>
  </si>
  <si>
    <t>100% BSG (bagazo cervecero)</t>
  </si>
  <si>
    <t>PTAR municipal</t>
  </si>
  <si>
    <t>20.3</t>
  </si>
  <si>
    <t>203.0</t>
  </si>
  <si>
    <t>193.9</t>
  </si>
  <si>
    <t>19.6</t>
  </si>
  <si>
    <t>14.8</t>
  </si>
  <si>
    <t>44.7</t>
  </si>
  <si>
    <t>49.7</t>
  </si>
  <si>
    <t>112.5</t>
  </si>
  <si>
    <t>85.6</t>
  </si>
  <si>
    <t>Enhanced anaerobic digestion of brewers’ spent grain: effect of inoculum, poultry manure application and iron (III) chloride supplementation on biogas production and its kinetics</t>
  </si>
  <si>
    <t>D1</t>
  </si>
  <si>
    <t>BSG + Agua</t>
  </si>
  <si>
    <t>PTAR cervecera</t>
  </si>
  <si>
    <t>112.4</t>
  </si>
  <si>
    <t>0.47</t>
  </si>
  <si>
    <t>7.52</t>
  </si>
  <si>
    <t>D2</t>
  </si>
  <si>
    <t>BSG + BWWS</t>
  </si>
  <si>
    <t>94.8</t>
  </si>
  <si>
    <t>14.5</t>
  </si>
  <si>
    <t>111.5</t>
  </si>
  <si>
    <t>0.49</t>
  </si>
  <si>
    <t>D3</t>
  </si>
  <si>
    <t>50 % BSG + 50 % PM + BWWS</t>
  </si>
  <si>
    <t>22.0</t>
  </si>
  <si>
    <t>93.0</t>
  </si>
  <si>
    <t>17.5</t>
  </si>
  <si>
    <t>102.4</t>
  </si>
  <si>
    <t>0.62</t>
  </si>
  <si>
    <t>D4</t>
  </si>
  <si>
    <t>60 % BSG + 40 % PM + BWWS</t>
  </si>
  <si>
    <t>21.6</t>
  </si>
  <si>
    <t>93.5</t>
  </si>
  <si>
    <t>18.2</t>
  </si>
  <si>
    <t>13.6</t>
  </si>
  <si>
    <t>99.8</t>
  </si>
  <si>
    <t>D5</t>
  </si>
  <si>
    <t>BSG + BWWS + 10 mg/L FeCl₃</t>
  </si>
  <si>
    <t>95.0</t>
  </si>
  <si>
    <t>19.8</t>
  </si>
  <si>
    <t>105.0</t>
  </si>
  <si>
    <t>0.60</t>
  </si>
  <si>
    <t>D6</t>
  </si>
  <si>
    <t>BSG + BWWS + 15 mg/L FeCl₃</t>
  </si>
  <si>
    <t>104.5</t>
  </si>
  <si>
    <t>0.61</t>
  </si>
  <si>
    <t>D7</t>
  </si>
  <si>
    <t>60 % BSG + 40 % PM + BWWS + 15 mg/L FeCl₃</t>
  </si>
  <si>
    <t>18.0</t>
  </si>
  <si>
    <t>97.9</t>
  </si>
  <si>
    <t>0.68</t>
  </si>
  <si>
    <t>Thermophilic Co-Digestion of Sewage Sludge and Brewery Spent Grain</t>
  </si>
  <si>
    <t>Lodo residual (control)</t>
  </si>
  <si>
    <t>Digestato mesofílico</t>
  </si>
  <si>
    <t>4.63</t>
  </si>
  <si>
    <t>3.46</t>
  </si>
  <si>
    <t>34.6</t>
  </si>
  <si>
    <t>1.65</t>
  </si>
  <si>
    <t>19.0</t>
  </si>
  <si>
    <t>0.035</t>
  </si>
  <si>
    <t>Lodo + 5 g BSG molido</t>
  </si>
  <si>
    <t>6.85</t>
  </si>
  <si>
    <t>68.5</t>
  </si>
  <si>
    <t>2.77</t>
  </si>
  <si>
    <t>16.1</t>
  </si>
  <si>
    <t>0.045</t>
  </si>
  <si>
    <t>Lodo + 10 g BSG molido</t>
  </si>
  <si>
    <t>8.90</t>
  </si>
  <si>
    <t>89.0</t>
  </si>
  <si>
    <t>77.2</t>
  </si>
  <si>
    <t>15.6</t>
  </si>
  <si>
    <t>3.67</t>
  </si>
  <si>
    <t>0.050</t>
  </si>
  <si>
    <t>R4</t>
  </si>
  <si>
    <t>Lodo + 5 g BSG sin moler</t>
  </si>
  <si>
    <t>17.2</t>
  </si>
  <si>
    <t>0.040</t>
  </si>
  <si>
    <t>R5</t>
  </si>
  <si>
    <t>Lodo + 10 g BSG sin moler</t>
  </si>
  <si>
    <t>Optimum loading ratio for co-digested wastewater sludge and brewery spent yeast</t>
  </si>
  <si>
    <t>WWS + BSY (1:1)</t>
  </si>
  <si>
    <t>Digestato</t>
  </si>
  <si>
    <t>5.26</t>
  </si>
  <si>
    <t>52.6</t>
  </si>
  <si>
    <t>8.3</t>
  </si>
  <si>
    <t>6.1</t>
  </si>
  <si>
    <t>WWS + BSY (1:2)</t>
  </si>
  <si>
    <t>6.66</t>
  </si>
  <si>
    <t>66.6</t>
  </si>
  <si>
    <t>9.5</t>
  </si>
  <si>
    <t>20.7</t>
  </si>
  <si>
    <t>14.1</t>
  </si>
  <si>
    <t>WWS + BSY (2:1)</t>
  </si>
  <si>
    <t>10.8</t>
  </si>
  <si>
    <t>Effects of Stimulating Materials Addition on Methane Production from Brewer’s Spent Grain in Anaerobic Digestion Process</t>
  </si>
  <si>
    <t>BSG (Control)</t>
  </si>
  <si>
    <t>Digestato agrícola</t>
  </si>
  <si>
    <t>Bio-Wat Sp. z o.o.</t>
  </si>
  <si>
    <t>20.4</t>
  </si>
  <si>
    <t>96.2</t>
  </si>
  <si>
    <t>316.2</t>
  </si>
  <si>
    <t>43.0</t>
  </si>
  <si>
    <t>62.0</t>
  </si>
  <si>
    <t>26.4</t>
  </si>
  <si>
    <t>8.07</t>
  </si>
  <si>
    <t>7 000</t>
  </si>
  <si>
    <t>BSG + Fe 0.1% TS</t>
  </si>
  <si>
    <t>7.74</t>
  </si>
  <si>
    <t>308.6</t>
  </si>
  <si>
    <t>43.1</t>
  </si>
  <si>
    <t>61.2</t>
  </si>
  <si>
    <t>23.7</t>
  </si>
  <si>
    <t>8.05</t>
  </si>
  <si>
    <t>BSG + Fe 0.3% TS</t>
  </si>
  <si>
    <t>317.8</t>
  </si>
  <si>
    <t>43.5</t>
  </si>
  <si>
    <t>62.3</t>
  </si>
  <si>
    <t>BSG + Fe 0.6% TS</t>
  </si>
  <si>
    <t>347.2</t>
  </si>
  <si>
    <t>43.6</t>
  </si>
  <si>
    <t>68.1</t>
  </si>
  <si>
    <t>31.7</t>
  </si>
  <si>
    <t>8.8</t>
  </si>
  <si>
    <t>8.09</t>
  </si>
  <si>
    <t>7 100</t>
  </si>
  <si>
    <t>BSG + Fe 1.2% TS</t>
  </si>
  <si>
    <t>325.0</t>
  </si>
  <si>
    <t>43.4</t>
  </si>
  <si>
    <t>63.6</t>
  </si>
  <si>
    <t>29.8</t>
  </si>
  <si>
    <t>8.10</t>
  </si>
  <si>
    <t>BSG + Fe 2.3% TS</t>
  </si>
  <si>
    <t>310.5</t>
  </si>
  <si>
    <t>26.5</t>
  </si>
  <si>
    <t>8.08</t>
  </si>
  <si>
    <t>BSG + Fe 4.6% TS</t>
  </si>
  <si>
    <t>302.4</t>
  </si>
  <si>
    <t>42.9</t>
  </si>
  <si>
    <t>60.2</t>
  </si>
  <si>
    <t>25.1</t>
  </si>
  <si>
    <t>9.4</t>
  </si>
  <si>
    <t>8.06</t>
  </si>
  <si>
    <t>BSG + Fe 9.3% TS</t>
  </si>
  <si>
    <t>289.5</t>
  </si>
  <si>
    <t>42.8</t>
  </si>
  <si>
    <t>58.3</t>
  </si>
  <si>
    <t>23.8</t>
  </si>
  <si>
    <t>9.8</t>
  </si>
  <si>
    <t>8.04</t>
  </si>
  <si>
    <t>BSG + Ca(OH)₂ 0.1% TS</t>
  </si>
  <si>
    <t>7.80</t>
  </si>
  <si>
    <t>305.0</t>
  </si>
  <si>
    <t>45.0</t>
  </si>
  <si>
    <t>61.0</t>
  </si>
  <si>
    <t>29.5</t>
  </si>
  <si>
    <t>7.97</t>
  </si>
  <si>
    <t>BSG + Ca(OH)₂ 0.3% TS</t>
  </si>
  <si>
    <t>294.1</t>
  </si>
  <si>
    <t>58.6</t>
  </si>
  <si>
    <t>33.2</t>
  </si>
  <si>
    <t>8.1</t>
  </si>
  <si>
    <t>7.96</t>
  </si>
  <si>
    <t>BSG + Ca(OH)₂ 0.6% TS</t>
  </si>
  <si>
    <t>286.7</t>
  </si>
  <si>
    <t>45.1</t>
  </si>
  <si>
    <t>55.9</t>
  </si>
  <si>
    <t>37.2</t>
  </si>
  <si>
    <t>5.7</t>
  </si>
  <si>
    <t>7.94</t>
  </si>
  <si>
    <t>BSG + Ca(OH)₂ 1.2% TS</t>
  </si>
  <si>
    <t>280.4</t>
  </si>
  <si>
    <t>45.2</t>
  </si>
  <si>
    <t>54.8</t>
  </si>
  <si>
    <t>7.90</t>
  </si>
  <si>
    <t>BSG + Ca(OH)₂ 2.3% TS</t>
  </si>
  <si>
    <t>260.1</t>
  </si>
  <si>
    <t>45.3</t>
  </si>
  <si>
    <t>51.4</t>
  </si>
  <si>
    <t>33.8</t>
  </si>
  <si>
    <t>4.8</t>
  </si>
  <si>
    <t>7.88</t>
  </si>
  <si>
    <t>BSG + Ca(OH)₂ 4.6% TS</t>
  </si>
  <si>
    <t>249.8</t>
  </si>
  <si>
    <t>45.4</t>
  </si>
  <si>
    <t>30.4</t>
  </si>
  <si>
    <t>4.6</t>
  </si>
  <si>
    <t>BSG + Ca(OH)₂ 9.3% TS</t>
  </si>
  <si>
    <t>242.6</t>
  </si>
  <si>
    <t>45.5</t>
  </si>
  <si>
    <t>48.0</t>
  </si>
  <si>
    <t>28.9</t>
  </si>
  <si>
    <t>4.3</t>
  </si>
  <si>
    <t>7.83</t>
  </si>
  <si>
    <t>BSG + Cerámica 0.1% TS</t>
  </si>
  <si>
    <t>7.78</t>
  </si>
  <si>
    <t>308.9</t>
  </si>
  <si>
    <t>44.8</t>
  </si>
  <si>
    <t>61.3</t>
  </si>
  <si>
    <t>68.3</t>
  </si>
  <si>
    <t>7.95</t>
  </si>
  <si>
    <t>BSG + Cerámica 0.3% TS</t>
  </si>
  <si>
    <t>312.7</t>
  </si>
  <si>
    <t>44.9</t>
  </si>
  <si>
    <t>61.8</t>
  </si>
  <si>
    <t>70.2</t>
  </si>
  <si>
    <t>BSG + Cerámica 0.6% TS</t>
  </si>
  <si>
    <t>310.9</t>
  </si>
  <si>
    <t>61.7</t>
  </si>
  <si>
    <t>72.4</t>
  </si>
  <si>
    <t>BSG + Cerámica 1.2% TS</t>
  </si>
  <si>
    <t>306.2</t>
  </si>
  <si>
    <t>70.0</t>
  </si>
  <si>
    <t>7.93</t>
  </si>
  <si>
    <t>BSG + Cerámica 2.3% TS</t>
  </si>
  <si>
    <t>302.1</t>
  </si>
  <si>
    <t>60.8</t>
  </si>
  <si>
    <t>69.5</t>
  </si>
  <si>
    <t>7.92</t>
  </si>
  <si>
    <t>BSG + Cerámica 4.6% TS</t>
  </si>
  <si>
    <t>295.0</t>
  </si>
  <si>
    <t>59.6</t>
  </si>
  <si>
    <t>7.91</t>
  </si>
  <si>
    <t>BSG + Cerámica 9.3% TS</t>
  </si>
  <si>
    <t>287.2</t>
  </si>
  <si>
    <t>66.8</t>
  </si>
  <si>
    <t>A combined anaerobic digestion system for energetic brewery spent grain application in co-digestion with a sewage sludge</t>
  </si>
  <si>
    <t>100 % sludge</t>
  </si>
  <si>
    <t>75 % sludge + 25 % BSG</t>
  </si>
  <si>
    <t>2.3</t>
  </si>
  <si>
    <t>5.6</t>
  </si>
  <si>
    <t>50 % sludge + 50 % BSG</t>
  </si>
  <si>
    <t>14.4</t>
  </si>
  <si>
    <t>25 % sludge + 75 % BSG</t>
  </si>
  <si>
    <t>16.5</t>
  </si>
  <si>
    <t>Anaerobic digestion of brewer’s spent grain with biochar – biogas production kinetics and process efficiency</t>
  </si>
  <si>
    <t>BC0</t>
  </si>
  <si>
    <t>BSG (control sin biochar)</t>
  </si>
  <si>
    <t>Biogas plant (maíz)</t>
  </si>
  <si>
    <t>16.7</t>
  </si>
  <si>
    <t>BC300-1%</t>
  </si>
  <si>
    <t>BSG + 1 % BC300</t>
  </si>
  <si>
    <t>BC450-3%</t>
  </si>
  <si>
    <t>BSG + 3 % BC450</t>
  </si>
  <si>
    <t>14.3</t>
  </si>
  <si>
    <t>BC600-3%</t>
  </si>
  <si>
    <t>BSG + 3 % BC600</t>
  </si>
  <si>
    <t>12.5</t>
  </si>
  <si>
    <t>Biogas Production from Brewery Spent Grain Enhanced by Bioaugmentation with Hydrolytic Anaerobic Bacteria</t>
  </si>
  <si>
    <t>Exp1 – Control (BSG)</t>
  </si>
  <si>
    <t>BSG + medio</t>
  </si>
  <si>
    <t>UASB granular</t>
  </si>
  <si>
    <t>Brewery Laško</t>
  </si>
  <si>
    <t>0.41</t>
  </si>
  <si>
    <t>33.4</t>
  </si>
  <si>
    <t>0.22</t>
  </si>
  <si>
    <t>Exp2 – Mz5T</t>
  </si>
  <si>
    <r>
      <t xml:space="preserve">BSG + </t>
    </r>
    <r>
      <rPr>
        <i/>
        <sz val="11"/>
        <color theme="1"/>
        <rFont val="Aptos Narrow"/>
        <family val="2"/>
        <scheme val="minor"/>
      </rPr>
      <t>P. xylanivorans</t>
    </r>
  </si>
  <si>
    <t>UASB + bacteria</t>
  </si>
  <si>
    <t>31.9</t>
  </si>
  <si>
    <t>Exp3 – F. succinogenes</t>
  </si>
  <si>
    <r>
      <t xml:space="preserve">BSG + </t>
    </r>
    <r>
      <rPr>
        <i/>
        <sz val="11"/>
        <color theme="1"/>
        <rFont val="Aptos Narrow"/>
        <family val="2"/>
        <scheme val="minor"/>
      </rPr>
      <t>F. succinogenes</t>
    </r>
  </si>
  <si>
    <t>34.2</t>
  </si>
  <si>
    <t>0.21</t>
  </si>
  <si>
    <t>Exp4 – C. cellulovorans</t>
  </si>
  <si>
    <r>
      <t xml:space="preserve">BSG + </t>
    </r>
    <r>
      <rPr>
        <i/>
        <sz val="11"/>
        <color theme="1"/>
        <rFont val="Aptos Narrow"/>
        <family val="2"/>
        <scheme val="minor"/>
      </rPr>
      <t>C. cellulovorans</t>
    </r>
  </si>
  <si>
    <t>0.24</t>
  </si>
  <si>
    <t>Exp5 – Co-cultivo (Mz5T + F.succ.)</t>
  </si>
  <si>
    <t>BSG + co-cultivo</t>
  </si>
  <si>
    <t>UASB + mix</t>
  </si>
  <si>
    <t>Exp6 – Co-cultivo (C.cell. + F.succ.)</t>
  </si>
  <si>
    <t>0.23</t>
  </si>
  <si>
    <t>Rodrigo Salas biomédica, Random Forest antiguo, Usar otras herramientas.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</si>
</sst>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wrapText="1"/>
    </xf>
    <xf numFmtId="0" fontId="3" fillId="3" borderId="0" xfId="0" applyFont="1" applyFill="1"/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0" fillId="2" borderId="11" xfId="0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0" fillId="2" borderId="2" xfId="0" applyFill="1" applyBorder="1" applyAlignment="1">
      <alignment horizontal="right" wrapText="1"/>
    </xf>
    <xf numFmtId="0" fontId="0" fillId="2" borderId="2" xfId="0" applyFill="1" applyBorder="1" applyAlignment="1">
      <alignment wrapText="1"/>
    </xf>
    <xf numFmtId="0" fontId="0" fillId="2" borderId="5" xfId="0" applyFont="1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 wrapText="1"/>
    </xf>
    <xf numFmtId="0" fontId="0" fillId="3" borderId="5" xfId="0" applyFont="1" applyFill="1" applyBorder="1" applyAlignment="1">
      <alignment horizontal="center" wrapText="1"/>
    </xf>
    <xf numFmtId="0" fontId="0" fillId="2" borderId="6" xfId="0" applyFont="1" applyFill="1" applyBorder="1" applyAlignment="1">
      <alignment horizontal="center" wrapText="1"/>
    </xf>
    <xf numFmtId="0" fontId="0" fillId="2" borderId="6" xfId="0" applyFont="1" applyFill="1" applyBorder="1" applyAlignment="1">
      <alignment horizontal="center"/>
    </xf>
    <xf numFmtId="0" fontId="0" fillId="3" borderId="7" xfId="0" applyFont="1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3" borderId="0" xfId="0" applyFill="1" applyBorder="1" applyAlignment="1">
      <alignment horizontal="center" wrapText="1"/>
    </xf>
    <xf numFmtId="0" fontId="1" fillId="4" borderId="2" xfId="0" applyFont="1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2" borderId="11" xfId="0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0" xfId="0" applyFill="1" applyBorder="1" applyAlignment="1">
      <alignment horizontal="center"/>
    </xf>
    <xf numFmtId="0" fontId="0" fillId="2" borderId="10" xfId="0" applyFont="1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0" xfId="0" applyFont="1" applyFill="1" applyBorder="1" applyAlignment="1">
      <alignment horizontal="center"/>
    </xf>
    <xf numFmtId="0" fontId="0" fillId="2" borderId="4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3" borderId="0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wrapText="1"/>
    </xf>
    <xf numFmtId="0" fontId="0" fillId="2" borderId="13" xfId="0" applyFont="1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4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Q158"/>
  <sheetViews>
    <sheetView tabSelected="1" workbookViewId="0">
      <pane ySplit="2" topLeftCell="A132" activePane="bottomLeft" state="frozen"/>
      <selection pane="bottomLeft" activeCell="B134" sqref="B134:B141"/>
      <selection activeCell="B1" sqref="B1"/>
    </sheetView>
  </sheetViews>
  <sheetFormatPr defaultColWidth="9.140625" defaultRowHeight="15"/>
  <cols>
    <col min="1" max="1" width="3.140625" style="1" customWidth="1"/>
    <col min="2" max="2" width="44.85546875" style="1" customWidth="1"/>
    <col min="3" max="3" width="34.140625" style="1" customWidth="1"/>
    <col min="4" max="4" width="30.140625" style="1" customWidth="1"/>
    <col min="5" max="5" width="20.85546875" style="1" customWidth="1"/>
    <col min="6" max="6" width="15.42578125" style="1" customWidth="1"/>
    <col min="7" max="7" width="26.7109375" style="1" customWidth="1"/>
    <col min="8" max="8" width="37.5703125" style="1" customWidth="1"/>
    <col min="9" max="9" width="16.140625" style="1" bestFit="1" customWidth="1"/>
    <col min="10" max="10" width="8.140625" style="2" customWidth="1"/>
    <col min="11" max="12" width="15.7109375" style="1" customWidth="1"/>
    <col min="13" max="13" width="23.85546875" style="1" customWidth="1"/>
    <col min="14" max="14" width="9.5703125" style="1" customWidth="1"/>
    <col min="15" max="15" width="11.85546875" style="1" customWidth="1"/>
    <col min="16" max="16" width="25.7109375" style="1" customWidth="1"/>
    <col min="17" max="17" width="24.42578125" style="1" customWidth="1"/>
    <col min="18" max="18" width="27.140625" style="1" customWidth="1"/>
    <col min="19" max="19" width="21.7109375" style="1" customWidth="1"/>
    <col min="20" max="20" width="23.28515625" style="1" bestFit="1" customWidth="1"/>
    <col min="21" max="21" width="14.85546875" style="1" customWidth="1"/>
    <col min="22" max="22" width="12" style="2" customWidth="1"/>
    <col min="23" max="23" width="14.85546875" style="1" customWidth="1"/>
    <col min="24" max="24" width="9.140625" style="1" customWidth="1"/>
    <col min="25" max="25" width="36.5703125" style="1" bestFit="1" customWidth="1"/>
    <col min="26" max="26" width="25.7109375" style="1" customWidth="1"/>
    <col min="27" max="28" width="14.85546875" style="1" customWidth="1"/>
    <col min="29" max="29" width="25" style="1" customWidth="1"/>
    <col min="30" max="31" width="29.7109375" style="1" customWidth="1"/>
    <col min="32" max="32" width="36.5703125" style="1" bestFit="1" customWidth="1"/>
    <col min="33" max="33" width="16" style="1" bestFit="1" customWidth="1"/>
    <col min="34" max="35" width="23.85546875" style="1" customWidth="1"/>
    <col min="36" max="36" width="34" style="1" customWidth="1"/>
    <col min="37" max="37" width="20.42578125" style="1" customWidth="1"/>
    <col min="38" max="38" width="5.7109375" style="1" customWidth="1"/>
    <col min="39" max="39" width="26" style="1" customWidth="1"/>
    <col min="40" max="40" width="15.85546875" style="1" customWidth="1"/>
    <col min="41" max="41" width="75.5703125" style="1" customWidth="1"/>
    <col min="42" max="42" width="156.140625" style="1" customWidth="1"/>
    <col min="43" max="43" width="117.7109375" style="1" customWidth="1"/>
    <col min="44" max="44" width="15.28515625" style="1" bestFit="1" customWidth="1"/>
    <col min="45" max="45" width="30.42578125" style="1" bestFit="1" customWidth="1"/>
    <col min="46" max="46" width="31.7109375" style="1" bestFit="1" customWidth="1"/>
    <col min="47" max="47" width="24.85546875" style="1" bestFit="1" customWidth="1"/>
    <col min="48" max="48" width="19.85546875" style="1" bestFit="1" customWidth="1"/>
    <col min="49" max="50" width="21.140625" style="1" bestFit="1" customWidth="1"/>
    <col min="51" max="51" width="12.140625" style="1" bestFit="1" customWidth="1"/>
    <col min="52" max="52" width="22.5703125" style="1" bestFit="1" customWidth="1"/>
    <col min="53" max="53" width="13.28515625" style="1" bestFit="1" customWidth="1"/>
    <col min="54" max="54" width="16.5703125" style="1" bestFit="1" customWidth="1"/>
    <col min="55" max="55" width="17.7109375" style="1" bestFit="1" customWidth="1"/>
    <col min="56" max="56" width="24" style="1" bestFit="1" customWidth="1"/>
    <col min="57" max="57" width="27.7109375" style="1" bestFit="1" customWidth="1"/>
    <col min="58" max="58" width="12.140625" style="1" bestFit="1" customWidth="1"/>
    <col min="59" max="59" width="12.28515625" style="1" bestFit="1" customWidth="1"/>
    <col min="60" max="60" width="18.28515625" style="1" bestFit="1" customWidth="1"/>
    <col min="61" max="61" width="19.7109375" style="1" bestFit="1" customWidth="1"/>
    <col min="62" max="62" width="15.85546875" style="1" bestFit="1" customWidth="1"/>
    <col min="63" max="63" width="18.140625" style="1" bestFit="1" customWidth="1"/>
    <col min="64" max="64" width="16.42578125" style="1" bestFit="1" customWidth="1"/>
    <col min="65" max="65" width="9.85546875" style="1" bestFit="1" customWidth="1"/>
    <col min="66" max="66" width="22.140625" style="1" bestFit="1" customWidth="1"/>
    <col min="67" max="67" width="17" style="1" bestFit="1" customWidth="1"/>
    <col min="68" max="68" width="17.85546875" style="1" bestFit="1" customWidth="1"/>
    <col min="69" max="69" width="14.42578125" style="1" bestFit="1" customWidth="1"/>
    <col min="70" max="16384" width="9.140625" style="1"/>
  </cols>
  <sheetData>
    <row r="1" spans="2:51" ht="29.25" customHeight="1">
      <c r="O1" s="3"/>
      <c r="Q1" s="3"/>
      <c r="Z1" s="3"/>
      <c r="AD1" s="35"/>
    </row>
    <row r="2" spans="2:51" ht="31.5" customHeight="1">
      <c r="B2" s="48" t="s">
        <v>0</v>
      </c>
      <c r="C2" s="49" t="s">
        <v>1</v>
      </c>
      <c r="D2" s="22" t="s">
        <v>2</v>
      </c>
      <c r="E2" s="22" t="s">
        <v>3</v>
      </c>
      <c r="F2" s="22" t="s">
        <v>4</v>
      </c>
      <c r="G2" s="23" t="s">
        <v>5</v>
      </c>
      <c r="H2" s="22" t="s">
        <v>6</v>
      </c>
      <c r="I2" s="22" t="s">
        <v>7</v>
      </c>
      <c r="J2" s="24" t="s">
        <v>8</v>
      </c>
      <c r="K2" s="24" t="s">
        <v>9</v>
      </c>
      <c r="L2" s="25" t="s">
        <v>10</v>
      </c>
      <c r="M2" s="25" t="s">
        <v>11</v>
      </c>
      <c r="N2" s="25" t="s">
        <v>12</v>
      </c>
      <c r="O2" s="25" t="s">
        <v>13</v>
      </c>
      <c r="P2" s="25" t="s">
        <v>14</v>
      </c>
      <c r="Q2" s="22" t="s">
        <v>15</v>
      </c>
      <c r="R2" s="22" t="s">
        <v>16</v>
      </c>
      <c r="S2" s="22" t="s">
        <v>17</v>
      </c>
      <c r="T2" s="22" t="s">
        <v>18</v>
      </c>
      <c r="U2" s="25" t="s">
        <v>19</v>
      </c>
      <c r="V2" s="24" t="s">
        <v>20</v>
      </c>
      <c r="W2" s="25" t="s">
        <v>21</v>
      </c>
      <c r="X2" s="25" t="s">
        <v>22</v>
      </c>
      <c r="Y2" s="25" t="s">
        <v>23</v>
      </c>
      <c r="Z2" s="25" t="s">
        <v>24</v>
      </c>
      <c r="AA2" s="22" t="s">
        <v>25</v>
      </c>
      <c r="AB2" s="36" t="s">
        <v>26</v>
      </c>
      <c r="AC2" s="37" t="s">
        <v>27</v>
      </c>
      <c r="AD2" s="37" t="s">
        <v>28</v>
      </c>
      <c r="AE2" s="37" t="s">
        <v>29</v>
      </c>
      <c r="AF2" s="37" t="s">
        <v>30</v>
      </c>
      <c r="AG2" s="37" t="s">
        <v>31</v>
      </c>
      <c r="AH2" s="37" t="s">
        <v>32</v>
      </c>
      <c r="AI2" s="37" t="s">
        <v>33</v>
      </c>
      <c r="AJ2" s="50" t="s">
        <v>34</v>
      </c>
      <c r="AK2" s="50" t="s">
        <v>35</v>
      </c>
      <c r="AL2" s="36" t="s">
        <v>36</v>
      </c>
      <c r="AM2" s="50" t="s">
        <v>37</v>
      </c>
      <c r="AN2" s="51" t="s">
        <v>38</v>
      </c>
      <c r="AO2" s="3"/>
      <c r="AQ2" s="3"/>
      <c r="AR2" s="3"/>
      <c r="AS2" s="3"/>
      <c r="AT2" s="3"/>
      <c r="AU2" s="3"/>
      <c r="AV2" s="3"/>
      <c r="AW2" s="3"/>
      <c r="AX2" s="3"/>
      <c r="AY2" s="3"/>
    </row>
    <row r="3" spans="2:51" ht="30" customHeight="1">
      <c r="B3" s="53" t="s">
        <v>39</v>
      </c>
      <c r="C3" s="20" t="s">
        <v>40</v>
      </c>
      <c r="D3" s="20" t="s">
        <v>41</v>
      </c>
      <c r="E3" s="20">
        <v>250</v>
      </c>
      <c r="F3" s="10">
        <v>120</v>
      </c>
      <c r="G3" s="20" t="s">
        <v>42</v>
      </c>
      <c r="H3" s="20" t="s">
        <v>43</v>
      </c>
      <c r="I3" s="10">
        <v>60</v>
      </c>
      <c r="J3" s="10" t="s">
        <v>44</v>
      </c>
      <c r="K3" s="10" t="s">
        <v>45</v>
      </c>
      <c r="L3" s="10" t="s">
        <v>46</v>
      </c>
      <c r="M3" s="10" t="s">
        <v>47</v>
      </c>
      <c r="N3" s="10" t="s">
        <v>48</v>
      </c>
      <c r="O3" s="10">
        <v>19</v>
      </c>
      <c r="P3" s="10">
        <v>46</v>
      </c>
      <c r="Q3" s="10" t="s">
        <v>49</v>
      </c>
      <c r="R3" s="10" t="s">
        <v>50</v>
      </c>
      <c r="S3" s="9" t="s">
        <v>51</v>
      </c>
      <c r="T3" s="10" t="s">
        <v>52</v>
      </c>
      <c r="U3" s="10">
        <v>35</v>
      </c>
      <c r="V3" s="10" t="s">
        <v>53</v>
      </c>
      <c r="W3" s="10">
        <v>17</v>
      </c>
      <c r="X3" s="10" t="s">
        <v>54</v>
      </c>
      <c r="Y3" s="10" t="s">
        <v>55</v>
      </c>
      <c r="Z3" s="10" t="s">
        <v>56</v>
      </c>
      <c r="AA3" s="10">
        <v>85</v>
      </c>
      <c r="AB3" s="10" t="s">
        <v>57</v>
      </c>
      <c r="AC3" s="10" t="s">
        <v>58</v>
      </c>
      <c r="AD3" s="10" t="s">
        <v>57</v>
      </c>
      <c r="AE3" s="10" t="s">
        <v>59</v>
      </c>
      <c r="AF3" s="10" t="s">
        <v>60</v>
      </c>
      <c r="AG3" s="10" t="s">
        <v>61</v>
      </c>
      <c r="AH3" s="10" t="s">
        <v>62</v>
      </c>
      <c r="AI3" s="10" t="s">
        <v>63</v>
      </c>
      <c r="AJ3" s="10" t="s">
        <v>64</v>
      </c>
      <c r="AK3" s="10">
        <v>10</v>
      </c>
      <c r="AL3" s="10" t="s">
        <v>65</v>
      </c>
      <c r="AM3" s="5" t="s">
        <v>66</v>
      </c>
      <c r="AN3" s="13" t="s">
        <v>67</v>
      </c>
      <c r="AO3" s="52"/>
      <c r="AP3" s="52"/>
      <c r="AQ3" s="52"/>
    </row>
    <row r="4" spans="2:51" ht="29.25">
      <c r="B4" s="54"/>
      <c r="C4" s="10" t="s">
        <v>68</v>
      </c>
      <c r="D4" s="20" t="s">
        <v>69</v>
      </c>
      <c r="E4" s="20">
        <v>250</v>
      </c>
      <c r="F4" s="10">
        <v>120</v>
      </c>
      <c r="G4" s="20" t="s">
        <v>42</v>
      </c>
      <c r="H4" s="20" t="s">
        <v>43</v>
      </c>
      <c r="I4" s="10">
        <v>60</v>
      </c>
      <c r="J4" s="10" t="s">
        <v>70</v>
      </c>
      <c r="K4" s="9" t="s">
        <v>71</v>
      </c>
      <c r="L4" s="9" t="s">
        <v>72</v>
      </c>
      <c r="M4" s="9" t="s">
        <v>73</v>
      </c>
      <c r="N4" s="10" t="s">
        <v>74</v>
      </c>
      <c r="O4" s="10">
        <v>19</v>
      </c>
      <c r="P4" s="10">
        <v>46</v>
      </c>
      <c r="Q4" s="9">
        <v>5535</v>
      </c>
      <c r="R4" s="9" t="s">
        <v>75</v>
      </c>
      <c r="S4" s="9" t="s">
        <v>76</v>
      </c>
      <c r="T4" s="9" t="s">
        <v>77</v>
      </c>
      <c r="U4" s="10">
        <v>35</v>
      </c>
      <c r="V4" s="10" t="s">
        <v>53</v>
      </c>
      <c r="W4" s="10">
        <v>17</v>
      </c>
      <c r="X4" s="9" t="s">
        <v>78</v>
      </c>
      <c r="Y4" s="9" t="s">
        <v>79</v>
      </c>
      <c r="Z4" s="10" t="s">
        <v>80</v>
      </c>
      <c r="AA4" s="10">
        <v>85</v>
      </c>
      <c r="AB4" s="10">
        <v>32</v>
      </c>
      <c r="AC4" s="9" t="s">
        <v>81</v>
      </c>
      <c r="AD4" s="9">
        <v>32</v>
      </c>
      <c r="AE4" s="9" t="s">
        <v>82</v>
      </c>
      <c r="AF4" s="9" t="s">
        <v>83</v>
      </c>
      <c r="AG4" s="9" t="s">
        <v>84</v>
      </c>
      <c r="AH4" s="10">
        <v>62</v>
      </c>
      <c r="AI4" s="10" t="s">
        <v>63</v>
      </c>
      <c r="AJ4" s="10" t="s">
        <v>64</v>
      </c>
      <c r="AK4" s="10">
        <v>10</v>
      </c>
      <c r="AL4" s="10" t="s">
        <v>85</v>
      </c>
      <c r="AM4" s="10" t="s">
        <v>86</v>
      </c>
      <c r="AN4" s="13" t="s">
        <v>87</v>
      </c>
      <c r="AO4" s="52"/>
      <c r="AP4" s="52"/>
      <c r="AQ4" s="52"/>
    </row>
    <row r="5" spans="2:51" ht="29.25">
      <c r="B5" s="54"/>
      <c r="C5" s="10" t="s">
        <v>88</v>
      </c>
      <c r="D5" s="20" t="s">
        <v>89</v>
      </c>
      <c r="E5" s="20">
        <v>250</v>
      </c>
      <c r="F5" s="10">
        <v>120</v>
      </c>
      <c r="G5" s="20" t="s">
        <v>42</v>
      </c>
      <c r="H5" s="20" t="s">
        <v>43</v>
      </c>
      <c r="I5" s="10">
        <v>60</v>
      </c>
      <c r="J5" s="10" t="s">
        <v>90</v>
      </c>
      <c r="K5" s="9" t="s">
        <v>48</v>
      </c>
      <c r="L5" s="9" t="s">
        <v>91</v>
      </c>
      <c r="M5" s="9" t="s">
        <v>92</v>
      </c>
      <c r="N5" s="10" t="s">
        <v>93</v>
      </c>
      <c r="O5" s="10">
        <v>19</v>
      </c>
      <c r="P5" s="10">
        <v>46</v>
      </c>
      <c r="Q5" s="9">
        <v>4059</v>
      </c>
      <c r="R5" s="9" t="s">
        <v>94</v>
      </c>
      <c r="S5" s="9" t="s">
        <v>95</v>
      </c>
      <c r="T5" s="9" t="s">
        <v>96</v>
      </c>
      <c r="U5" s="10">
        <v>35</v>
      </c>
      <c r="V5" s="10" t="s">
        <v>53</v>
      </c>
      <c r="W5" s="10">
        <v>17</v>
      </c>
      <c r="X5" s="9" t="s">
        <v>54</v>
      </c>
      <c r="Y5" s="9" t="s">
        <v>97</v>
      </c>
      <c r="Z5" s="10" t="s">
        <v>98</v>
      </c>
      <c r="AA5" s="10">
        <v>85</v>
      </c>
      <c r="AB5" s="10">
        <v>41</v>
      </c>
      <c r="AC5" s="9" t="s">
        <v>99</v>
      </c>
      <c r="AD5" s="9">
        <v>41</v>
      </c>
      <c r="AE5" s="9">
        <v>19</v>
      </c>
      <c r="AF5" s="9" t="s">
        <v>100</v>
      </c>
      <c r="AG5" s="9" t="s">
        <v>101</v>
      </c>
      <c r="AH5" s="10">
        <v>63</v>
      </c>
      <c r="AI5" s="10" t="s">
        <v>102</v>
      </c>
      <c r="AJ5" s="10" t="s">
        <v>103</v>
      </c>
      <c r="AK5" s="10">
        <v>10</v>
      </c>
      <c r="AL5" s="10" t="s">
        <v>104</v>
      </c>
      <c r="AM5" s="10" t="s">
        <v>105</v>
      </c>
      <c r="AN5" s="13" t="s">
        <v>106</v>
      </c>
      <c r="AO5" s="52"/>
      <c r="AP5" s="52"/>
      <c r="AQ5" s="52"/>
    </row>
    <row r="6" spans="2:51" ht="29.25">
      <c r="B6" s="54"/>
      <c r="C6" s="10" t="s">
        <v>107</v>
      </c>
      <c r="D6" s="20" t="s">
        <v>108</v>
      </c>
      <c r="E6" s="20">
        <v>250</v>
      </c>
      <c r="F6" s="10">
        <v>120</v>
      </c>
      <c r="G6" s="20" t="s">
        <v>42</v>
      </c>
      <c r="H6" s="20" t="s">
        <v>43</v>
      </c>
      <c r="I6" s="10">
        <v>60</v>
      </c>
      <c r="J6" s="10" t="s">
        <v>109</v>
      </c>
      <c r="K6" s="9" t="s">
        <v>110</v>
      </c>
      <c r="L6" s="9" t="s">
        <v>111</v>
      </c>
      <c r="M6" s="9" t="s">
        <v>112</v>
      </c>
      <c r="N6" s="10" t="s">
        <v>113</v>
      </c>
      <c r="O6" s="10">
        <v>19</v>
      </c>
      <c r="P6" s="10">
        <v>46</v>
      </c>
      <c r="Q6" s="9">
        <v>3567</v>
      </c>
      <c r="R6" s="9" t="s">
        <v>114</v>
      </c>
      <c r="S6" s="9" t="s">
        <v>115</v>
      </c>
      <c r="T6" s="9" t="s">
        <v>116</v>
      </c>
      <c r="U6" s="10">
        <v>35</v>
      </c>
      <c r="V6" s="10" t="s">
        <v>53</v>
      </c>
      <c r="W6" s="10">
        <v>17</v>
      </c>
      <c r="X6" s="9" t="s">
        <v>117</v>
      </c>
      <c r="Y6" s="9" t="s">
        <v>118</v>
      </c>
      <c r="Z6" s="10" t="s">
        <v>119</v>
      </c>
      <c r="AA6" s="10">
        <v>85</v>
      </c>
      <c r="AB6" s="10">
        <v>61</v>
      </c>
      <c r="AC6" s="9" t="s">
        <v>120</v>
      </c>
      <c r="AD6" s="9">
        <v>61</v>
      </c>
      <c r="AE6" s="9" t="s">
        <v>121</v>
      </c>
      <c r="AF6" s="9">
        <v>42</v>
      </c>
      <c r="AG6" s="9" t="s">
        <v>122</v>
      </c>
      <c r="AH6" s="10">
        <v>64</v>
      </c>
      <c r="AI6" s="10" t="s">
        <v>123</v>
      </c>
      <c r="AJ6" s="10" t="s">
        <v>124</v>
      </c>
      <c r="AK6" s="10">
        <v>10</v>
      </c>
      <c r="AL6" s="10" t="s">
        <v>125</v>
      </c>
      <c r="AM6" s="10">
        <v>14</v>
      </c>
      <c r="AN6" s="13" t="s">
        <v>126</v>
      </c>
      <c r="AO6" s="52"/>
      <c r="AP6" s="52"/>
      <c r="AQ6" s="52"/>
    </row>
    <row r="7" spans="2:51" ht="37.5" customHeight="1">
      <c r="B7" s="54"/>
      <c r="C7" s="10" t="s">
        <v>127</v>
      </c>
      <c r="D7" s="20" t="s">
        <v>128</v>
      </c>
      <c r="E7" s="20">
        <v>250</v>
      </c>
      <c r="F7" s="10">
        <v>120</v>
      </c>
      <c r="G7" s="20" t="s">
        <v>42</v>
      </c>
      <c r="H7" s="20" t="s">
        <v>43</v>
      </c>
      <c r="I7" s="10">
        <v>60</v>
      </c>
      <c r="J7" s="10" t="s">
        <v>129</v>
      </c>
      <c r="K7" s="9" t="s">
        <v>130</v>
      </c>
      <c r="L7" s="9" t="s">
        <v>131</v>
      </c>
      <c r="M7" s="9" t="s">
        <v>83</v>
      </c>
      <c r="N7" s="10" t="s">
        <v>132</v>
      </c>
      <c r="O7" s="10">
        <v>19</v>
      </c>
      <c r="P7" s="10">
        <v>46</v>
      </c>
      <c r="Q7" s="9" t="s">
        <v>133</v>
      </c>
      <c r="R7" s="9">
        <v>3075</v>
      </c>
      <c r="S7" s="10">
        <v>523</v>
      </c>
      <c r="T7" s="9" t="s">
        <v>134</v>
      </c>
      <c r="U7" s="10">
        <v>35</v>
      </c>
      <c r="V7" s="10" t="s">
        <v>53</v>
      </c>
      <c r="W7" s="10">
        <v>17</v>
      </c>
      <c r="X7" s="9" t="s">
        <v>135</v>
      </c>
      <c r="Y7" s="9" t="s">
        <v>136</v>
      </c>
      <c r="Z7" s="10" t="s">
        <v>137</v>
      </c>
      <c r="AA7" s="10">
        <v>85</v>
      </c>
      <c r="AB7" s="10">
        <v>88</v>
      </c>
      <c r="AC7" s="9" t="s">
        <v>138</v>
      </c>
      <c r="AD7" s="9">
        <v>88</v>
      </c>
      <c r="AE7" s="9" t="s">
        <v>139</v>
      </c>
      <c r="AF7" s="9" t="s">
        <v>140</v>
      </c>
      <c r="AG7" s="9" t="s">
        <v>141</v>
      </c>
      <c r="AH7" s="10">
        <v>65</v>
      </c>
      <c r="AI7" s="10" t="s">
        <v>142</v>
      </c>
      <c r="AJ7" s="10" t="s">
        <v>143</v>
      </c>
      <c r="AK7" s="10">
        <v>10</v>
      </c>
      <c r="AL7" s="10" t="s">
        <v>144</v>
      </c>
      <c r="AM7" s="10" t="s">
        <v>145</v>
      </c>
      <c r="AN7" s="13" t="s">
        <v>146</v>
      </c>
      <c r="AO7" s="52"/>
      <c r="AP7" s="52"/>
      <c r="AQ7" s="52"/>
    </row>
    <row r="8" spans="2:51" ht="29.25" customHeight="1">
      <c r="B8" s="53" t="s">
        <v>147</v>
      </c>
      <c r="C8" s="20" t="s">
        <v>148</v>
      </c>
      <c r="D8" s="10" t="s">
        <v>149</v>
      </c>
      <c r="E8" s="10">
        <v>5000</v>
      </c>
      <c r="F8" s="10">
        <v>4000</v>
      </c>
      <c r="G8" s="10" t="s">
        <v>150</v>
      </c>
      <c r="H8" s="20" t="s">
        <v>151</v>
      </c>
      <c r="I8" s="10">
        <v>3000</v>
      </c>
      <c r="J8" s="10" t="s">
        <v>152</v>
      </c>
      <c r="K8" s="10">
        <v>187</v>
      </c>
      <c r="L8" s="10" t="s">
        <v>153</v>
      </c>
      <c r="M8" s="10">
        <v>182</v>
      </c>
      <c r="N8" s="10" t="s">
        <v>154</v>
      </c>
      <c r="O8" s="10" t="s">
        <v>155</v>
      </c>
      <c r="P8" s="10" t="s">
        <v>156</v>
      </c>
      <c r="Q8" s="10" t="s">
        <v>157</v>
      </c>
      <c r="R8" s="10">
        <v>1553</v>
      </c>
      <c r="S8" s="10">
        <v>300</v>
      </c>
      <c r="T8" s="10" t="s">
        <v>158</v>
      </c>
      <c r="U8" s="10">
        <v>35</v>
      </c>
      <c r="V8" s="10" t="s">
        <v>53</v>
      </c>
      <c r="W8" s="10">
        <v>50</v>
      </c>
      <c r="X8" s="10" t="s">
        <v>159</v>
      </c>
      <c r="Y8" s="10">
        <v>2500</v>
      </c>
      <c r="Z8" s="10">
        <v>2</v>
      </c>
      <c r="AA8" s="10">
        <v>120</v>
      </c>
      <c r="AB8" s="10">
        <v>820</v>
      </c>
      <c r="AC8" s="10">
        <v>429</v>
      </c>
      <c r="AD8" s="10">
        <v>429</v>
      </c>
      <c r="AE8" s="10">
        <v>100</v>
      </c>
      <c r="AF8" s="10">
        <v>45</v>
      </c>
      <c r="AG8" s="10">
        <v>600</v>
      </c>
      <c r="AH8" s="10" t="s">
        <v>160</v>
      </c>
      <c r="AI8" s="10" t="s">
        <v>161</v>
      </c>
      <c r="AJ8" s="10">
        <v>4</v>
      </c>
      <c r="AK8" s="10" t="s">
        <v>162</v>
      </c>
      <c r="AL8" s="10" t="s">
        <v>163</v>
      </c>
      <c r="AM8" s="10">
        <v>300</v>
      </c>
      <c r="AN8" s="13">
        <v>3500</v>
      </c>
      <c r="AO8" s="2"/>
    </row>
    <row r="9" spans="2:51" ht="30" customHeight="1">
      <c r="B9" s="53"/>
      <c r="C9" s="20" t="s">
        <v>164</v>
      </c>
      <c r="D9" s="10" t="s">
        <v>165</v>
      </c>
      <c r="E9" s="10">
        <v>5000</v>
      </c>
      <c r="F9" s="10">
        <v>4000</v>
      </c>
      <c r="G9" s="10" t="s">
        <v>150</v>
      </c>
      <c r="H9" s="20" t="s">
        <v>151</v>
      </c>
      <c r="I9" s="10">
        <v>3000</v>
      </c>
      <c r="J9" s="10" t="s">
        <v>93</v>
      </c>
      <c r="K9" s="10">
        <v>159</v>
      </c>
      <c r="L9" s="10" t="s">
        <v>166</v>
      </c>
      <c r="M9" s="10">
        <v>147</v>
      </c>
      <c r="N9" s="10" t="s">
        <v>167</v>
      </c>
      <c r="O9" s="10">
        <v>0</v>
      </c>
      <c r="P9" s="10" t="s">
        <v>168</v>
      </c>
      <c r="Q9" s="10" t="s">
        <v>91</v>
      </c>
      <c r="R9" s="10">
        <v>1553</v>
      </c>
      <c r="S9" s="10">
        <v>300</v>
      </c>
      <c r="T9" s="10" t="s">
        <v>158</v>
      </c>
      <c r="U9" s="10">
        <v>35</v>
      </c>
      <c r="V9" s="10" t="s">
        <v>53</v>
      </c>
      <c r="W9" s="10">
        <v>50</v>
      </c>
      <c r="X9" s="10" t="s">
        <v>159</v>
      </c>
      <c r="Y9" s="10">
        <v>2500</v>
      </c>
      <c r="Z9" s="10">
        <v>2</v>
      </c>
      <c r="AA9" s="10">
        <v>120</v>
      </c>
      <c r="AB9" s="10">
        <v>463</v>
      </c>
      <c r="AC9" s="10">
        <v>255</v>
      </c>
      <c r="AD9" s="10">
        <v>255</v>
      </c>
      <c r="AE9" s="10">
        <v>95</v>
      </c>
      <c r="AF9" s="10">
        <v>35</v>
      </c>
      <c r="AG9" s="10">
        <v>600</v>
      </c>
      <c r="AH9" s="10" t="s">
        <v>169</v>
      </c>
      <c r="AI9" s="10" t="s">
        <v>170</v>
      </c>
      <c r="AJ9" s="10">
        <v>7</v>
      </c>
      <c r="AK9" s="10" t="s">
        <v>171</v>
      </c>
      <c r="AL9" s="10" t="s">
        <v>163</v>
      </c>
      <c r="AM9" s="10">
        <v>300</v>
      </c>
      <c r="AN9" s="13">
        <v>3500</v>
      </c>
      <c r="AO9" s="2"/>
    </row>
    <row r="10" spans="2:51">
      <c r="B10" s="53" t="s">
        <v>172</v>
      </c>
      <c r="C10" s="10" t="s">
        <v>173</v>
      </c>
      <c r="D10" s="10" t="s">
        <v>174</v>
      </c>
      <c r="E10" s="10">
        <v>250</v>
      </c>
      <c r="F10" s="10">
        <v>120</v>
      </c>
      <c r="G10" s="10" t="s">
        <v>175</v>
      </c>
      <c r="H10" s="10" t="s">
        <v>176</v>
      </c>
      <c r="I10" s="10">
        <v>60</v>
      </c>
      <c r="J10" s="14" t="s">
        <v>177</v>
      </c>
      <c r="K10" s="10" t="s">
        <v>178</v>
      </c>
      <c r="L10" s="14" t="s">
        <v>179</v>
      </c>
      <c r="M10" s="10" t="s">
        <v>180</v>
      </c>
      <c r="N10" s="10" t="s">
        <v>181</v>
      </c>
      <c r="O10" s="10" t="s">
        <v>182</v>
      </c>
      <c r="P10" s="10">
        <v>1</v>
      </c>
      <c r="Q10" s="10">
        <v>39220</v>
      </c>
      <c r="R10" s="10">
        <v>27890</v>
      </c>
      <c r="S10" s="10">
        <v>600</v>
      </c>
      <c r="T10" s="10">
        <v>165</v>
      </c>
      <c r="U10" s="10">
        <v>35</v>
      </c>
      <c r="V10" s="10" t="s">
        <v>53</v>
      </c>
      <c r="W10" s="10">
        <v>25</v>
      </c>
      <c r="X10" s="10" t="s">
        <v>183</v>
      </c>
      <c r="Y10" s="10">
        <v>2000</v>
      </c>
      <c r="Z10" s="10">
        <v>2</v>
      </c>
      <c r="AA10" s="10">
        <v>0</v>
      </c>
      <c r="AB10" s="10">
        <v>365</v>
      </c>
      <c r="AC10" s="10" t="s">
        <v>184</v>
      </c>
      <c r="AD10" s="10" t="s">
        <v>185</v>
      </c>
      <c r="AE10" s="10" t="s">
        <v>186</v>
      </c>
      <c r="AF10" s="10" t="s">
        <v>187</v>
      </c>
      <c r="AG10" s="10">
        <v>450</v>
      </c>
      <c r="AH10" s="10" t="s">
        <v>188</v>
      </c>
      <c r="AI10" s="10">
        <v>75</v>
      </c>
      <c r="AJ10" s="10" t="s">
        <v>189</v>
      </c>
      <c r="AK10" s="10" t="s">
        <v>190</v>
      </c>
      <c r="AL10" s="10" t="s">
        <v>191</v>
      </c>
      <c r="AM10" s="10">
        <v>225</v>
      </c>
      <c r="AN10" s="13">
        <v>2600</v>
      </c>
      <c r="AO10" s="2"/>
    </row>
    <row r="11" spans="2:51">
      <c r="B11" s="54"/>
      <c r="C11" s="10" t="s">
        <v>192</v>
      </c>
      <c r="D11" s="10" t="s">
        <v>193</v>
      </c>
      <c r="E11" s="10">
        <v>250</v>
      </c>
      <c r="F11" s="10">
        <v>120</v>
      </c>
      <c r="G11" s="10" t="s">
        <v>175</v>
      </c>
      <c r="H11" s="10" t="s">
        <v>176</v>
      </c>
      <c r="I11" s="10">
        <v>60</v>
      </c>
      <c r="J11" s="14" t="s">
        <v>194</v>
      </c>
      <c r="K11" s="10" t="s">
        <v>195</v>
      </c>
      <c r="L11" s="14" t="s">
        <v>194</v>
      </c>
      <c r="M11" s="10" t="s">
        <v>196</v>
      </c>
      <c r="N11" s="10" t="s">
        <v>197</v>
      </c>
      <c r="O11" s="10">
        <v>15</v>
      </c>
      <c r="P11" s="10">
        <v>38</v>
      </c>
      <c r="Q11" s="10">
        <v>42330</v>
      </c>
      <c r="R11" s="10">
        <v>13270</v>
      </c>
      <c r="S11" s="10">
        <v>600</v>
      </c>
      <c r="T11" s="10">
        <v>165</v>
      </c>
      <c r="U11" s="10">
        <v>35</v>
      </c>
      <c r="V11" s="10" t="s">
        <v>53</v>
      </c>
      <c r="W11" s="10">
        <v>25</v>
      </c>
      <c r="X11" s="10" t="s">
        <v>198</v>
      </c>
      <c r="Y11" s="10">
        <v>2000</v>
      </c>
      <c r="Z11" s="10">
        <v>2</v>
      </c>
      <c r="AA11" s="10">
        <v>0</v>
      </c>
      <c r="AB11" s="10">
        <v>365</v>
      </c>
      <c r="AC11" s="10">
        <v>20</v>
      </c>
      <c r="AD11" s="10">
        <v>20</v>
      </c>
      <c r="AE11" s="10" t="s">
        <v>199</v>
      </c>
      <c r="AF11" s="10" t="s">
        <v>200</v>
      </c>
      <c r="AG11" s="10">
        <v>450</v>
      </c>
      <c r="AH11" s="10" t="s">
        <v>188</v>
      </c>
      <c r="AI11" s="10">
        <v>75</v>
      </c>
      <c r="AJ11" s="10" t="s">
        <v>201</v>
      </c>
      <c r="AK11" s="10" t="s">
        <v>202</v>
      </c>
      <c r="AL11" s="10" t="s">
        <v>203</v>
      </c>
      <c r="AM11" s="10">
        <v>225</v>
      </c>
      <c r="AN11" s="13">
        <v>2600</v>
      </c>
      <c r="AO11" s="2"/>
    </row>
    <row r="12" spans="2:51">
      <c r="B12" s="54"/>
      <c r="C12" s="10" t="s">
        <v>204</v>
      </c>
      <c r="D12" s="10" t="s">
        <v>205</v>
      </c>
      <c r="E12" s="10">
        <v>250</v>
      </c>
      <c r="F12" s="10">
        <v>120</v>
      </c>
      <c r="G12" s="10" t="s">
        <v>206</v>
      </c>
      <c r="H12" s="10" t="s">
        <v>176</v>
      </c>
      <c r="I12" s="10">
        <v>60</v>
      </c>
      <c r="J12" s="14" t="s">
        <v>207</v>
      </c>
      <c r="K12" s="10" t="s">
        <v>208</v>
      </c>
      <c r="L12" s="14" t="s">
        <v>207</v>
      </c>
      <c r="M12" s="10" t="s">
        <v>209</v>
      </c>
      <c r="N12" s="10" t="s">
        <v>181</v>
      </c>
      <c r="O12" s="10" t="s">
        <v>182</v>
      </c>
      <c r="P12" s="10">
        <v>1</v>
      </c>
      <c r="Q12" s="10">
        <v>38660</v>
      </c>
      <c r="R12" s="10">
        <v>23560</v>
      </c>
      <c r="S12" s="10">
        <v>600</v>
      </c>
      <c r="T12" s="10">
        <v>165</v>
      </c>
      <c r="U12" s="10">
        <v>55</v>
      </c>
      <c r="V12" s="10" t="s">
        <v>210</v>
      </c>
      <c r="W12" s="10">
        <v>25</v>
      </c>
      <c r="X12" s="10" t="s">
        <v>211</v>
      </c>
      <c r="Y12" s="10">
        <v>2000</v>
      </c>
      <c r="Z12" s="10">
        <v>2</v>
      </c>
      <c r="AA12" s="10">
        <v>0</v>
      </c>
      <c r="AB12" s="10">
        <v>365</v>
      </c>
      <c r="AC12" s="10">
        <v>170</v>
      </c>
      <c r="AD12" s="10">
        <v>170</v>
      </c>
      <c r="AE12" s="10" t="s">
        <v>212</v>
      </c>
      <c r="AF12" s="10" t="s">
        <v>213</v>
      </c>
      <c r="AG12" s="10">
        <v>450</v>
      </c>
      <c r="AH12" s="10" t="s">
        <v>188</v>
      </c>
      <c r="AI12" s="10">
        <v>75</v>
      </c>
      <c r="AJ12" s="10" t="s">
        <v>214</v>
      </c>
      <c r="AK12" s="10" t="s">
        <v>215</v>
      </c>
      <c r="AL12" s="10" t="s">
        <v>216</v>
      </c>
      <c r="AM12" s="10">
        <v>225</v>
      </c>
      <c r="AN12" s="13">
        <v>2600</v>
      </c>
      <c r="AO12" s="2"/>
    </row>
    <row r="13" spans="2:51">
      <c r="B13" s="54"/>
      <c r="C13" s="10" t="s">
        <v>217</v>
      </c>
      <c r="D13" s="10" t="s">
        <v>218</v>
      </c>
      <c r="E13" s="10">
        <v>250</v>
      </c>
      <c r="F13" s="10">
        <v>120</v>
      </c>
      <c r="G13" s="10" t="s">
        <v>206</v>
      </c>
      <c r="H13" s="10" t="s">
        <v>176</v>
      </c>
      <c r="I13" s="10">
        <v>60</v>
      </c>
      <c r="J13" s="14" t="s">
        <v>194</v>
      </c>
      <c r="K13" s="10" t="s">
        <v>219</v>
      </c>
      <c r="L13" s="14" t="s">
        <v>220</v>
      </c>
      <c r="M13" s="10" t="s">
        <v>221</v>
      </c>
      <c r="N13" s="10" t="s">
        <v>197</v>
      </c>
      <c r="O13" s="10">
        <v>15</v>
      </c>
      <c r="P13" s="10">
        <v>38</v>
      </c>
      <c r="Q13" s="10">
        <v>40000</v>
      </c>
      <c r="R13" s="10">
        <v>18560</v>
      </c>
      <c r="S13" s="10">
        <v>600</v>
      </c>
      <c r="T13" s="10">
        <v>165</v>
      </c>
      <c r="U13" s="10">
        <v>55</v>
      </c>
      <c r="V13" s="10" t="s">
        <v>210</v>
      </c>
      <c r="W13" s="10">
        <v>25</v>
      </c>
      <c r="X13" s="10" t="s">
        <v>222</v>
      </c>
      <c r="Y13" s="10">
        <v>2000</v>
      </c>
      <c r="Z13" s="10">
        <v>2</v>
      </c>
      <c r="AA13" s="10">
        <v>0</v>
      </c>
      <c r="AB13" s="10">
        <v>365</v>
      </c>
      <c r="AC13" s="10">
        <v>20</v>
      </c>
      <c r="AD13" s="10">
        <v>20</v>
      </c>
      <c r="AE13" s="10" t="s">
        <v>223</v>
      </c>
      <c r="AF13" s="10" t="s">
        <v>224</v>
      </c>
      <c r="AG13" s="10">
        <v>450</v>
      </c>
      <c r="AH13" s="10" t="s">
        <v>188</v>
      </c>
      <c r="AI13" s="10">
        <v>75</v>
      </c>
      <c r="AJ13" s="10" t="s">
        <v>225</v>
      </c>
      <c r="AK13" s="10" t="s">
        <v>226</v>
      </c>
      <c r="AL13" s="10" t="s">
        <v>227</v>
      </c>
      <c r="AM13" s="10">
        <v>225</v>
      </c>
      <c r="AN13" s="13">
        <v>2600</v>
      </c>
      <c r="AO13" s="2"/>
    </row>
    <row r="14" spans="2:51" ht="28.5" customHeight="1">
      <c r="B14" s="53" t="s">
        <v>228</v>
      </c>
      <c r="C14" s="15" t="s">
        <v>229</v>
      </c>
      <c r="D14" s="16" t="s">
        <v>230</v>
      </c>
      <c r="E14" s="15">
        <v>2000</v>
      </c>
      <c r="F14" s="16">
        <v>1600</v>
      </c>
      <c r="G14" s="15" t="s">
        <v>231</v>
      </c>
      <c r="H14" s="15" t="s">
        <v>232</v>
      </c>
      <c r="I14" s="15">
        <v>1400</v>
      </c>
      <c r="J14" s="16" t="s">
        <v>171</v>
      </c>
      <c r="K14" s="15">
        <v>15</v>
      </c>
      <c r="L14" s="15">
        <v>1</v>
      </c>
      <c r="M14" s="15">
        <v>10</v>
      </c>
      <c r="N14" s="16">
        <v>20</v>
      </c>
      <c r="O14" s="16">
        <v>15</v>
      </c>
      <c r="P14" s="15">
        <v>38</v>
      </c>
      <c r="Q14" s="15">
        <v>33600</v>
      </c>
      <c r="R14" s="15">
        <v>29000</v>
      </c>
      <c r="S14" s="15">
        <v>600</v>
      </c>
      <c r="T14" s="15">
        <v>150</v>
      </c>
      <c r="U14" s="15">
        <v>37</v>
      </c>
      <c r="V14" s="16" t="s">
        <v>53</v>
      </c>
      <c r="W14" s="15">
        <v>21</v>
      </c>
      <c r="X14" s="15" t="s">
        <v>233</v>
      </c>
      <c r="Y14" s="16">
        <v>870</v>
      </c>
      <c r="Z14" s="15" t="s">
        <v>234</v>
      </c>
      <c r="AA14" s="15">
        <v>120</v>
      </c>
      <c r="AB14" s="16">
        <v>463</v>
      </c>
      <c r="AC14" s="16">
        <v>281</v>
      </c>
      <c r="AD14" s="15">
        <v>281</v>
      </c>
      <c r="AE14" s="15" t="s">
        <v>235</v>
      </c>
      <c r="AF14" s="15">
        <v>65</v>
      </c>
      <c r="AG14" s="15">
        <v>450</v>
      </c>
      <c r="AH14" s="15">
        <v>60</v>
      </c>
      <c r="AI14" s="15">
        <v>72</v>
      </c>
      <c r="AJ14" s="15" t="s">
        <v>236</v>
      </c>
      <c r="AK14" s="10" t="s">
        <v>237</v>
      </c>
      <c r="AL14" s="16" t="s">
        <v>238</v>
      </c>
      <c r="AM14" s="15">
        <v>238</v>
      </c>
      <c r="AN14" s="26">
        <v>4131</v>
      </c>
      <c r="AO14" s="2"/>
    </row>
    <row r="15" spans="2:51" ht="28.5" customHeight="1">
      <c r="B15" s="53"/>
      <c r="C15" s="15" t="s">
        <v>239</v>
      </c>
      <c r="D15" s="16" t="s">
        <v>240</v>
      </c>
      <c r="E15" s="15">
        <v>2000</v>
      </c>
      <c r="F15" s="16">
        <v>1600</v>
      </c>
      <c r="G15" s="15" t="s">
        <v>231</v>
      </c>
      <c r="H15" s="15" t="s">
        <v>232</v>
      </c>
      <c r="I15" s="15">
        <v>1400</v>
      </c>
      <c r="J15" s="16" t="s">
        <v>171</v>
      </c>
      <c r="K15" s="15">
        <v>15</v>
      </c>
      <c r="L15" s="15">
        <v>1</v>
      </c>
      <c r="M15" s="15">
        <v>10</v>
      </c>
      <c r="N15" s="16">
        <v>20</v>
      </c>
      <c r="O15" s="16">
        <v>15</v>
      </c>
      <c r="P15" s="15">
        <v>38</v>
      </c>
      <c r="Q15" s="15">
        <v>33600</v>
      </c>
      <c r="R15" s="15">
        <v>29000</v>
      </c>
      <c r="S15" s="15">
        <v>600</v>
      </c>
      <c r="T15" s="15">
        <v>150</v>
      </c>
      <c r="U15" s="15">
        <v>37</v>
      </c>
      <c r="V15" s="16" t="s">
        <v>53</v>
      </c>
      <c r="W15" s="15">
        <v>21</v>
      </c>
      <c r="X15" s="15" t="s">
        <v>241</v>
      </c>
      <c r="Y15" s="16">
        <v>860</v>
      </c>
      <c r="Z15" s="15" t="s">
        <v>234</v>
      </c>
      <c r="AA15" s="15">
        <v>120</v>
      </c>
      <c r="AB15" s="16">
        <v>523</v>
      </c>
      <c r="AC15" s="16">
        <v>318</v>
      </c>
      <c r="AD15" s="15">
        <v>318</v>
      </c>
      <c r="AE15" s="15" t="s">
        <v>220</v>
      </c>
      <c r="AF15" s="15">
        <v>70</v>
      </c>
      <c r="AG15" s="15">
        <v>450</v>
      </c>
      <c r="AH15" s="15">
        <v>61</v>
      </c>
      <c r="AI15" s="15">
        <v>75</v>
      </c>
      <c r="AJ15" s="15" t="s">
        <v>242</v>
      </c>
      <c r="AK15" s="10" t="s">
        <v>237</v>
      </c>
      <c r="AL15" s="16" t="s">
        <v>243</v>
      </c>
      <c r="AM15" s="15">
        <v>252</v>
      </c>
      <c r="AN15" s="26">
        <v>4796</v>
      </c>
      <c r="AO15" s="2"/>
    </row>
    <row r="16" spans="2:51" ht="28.5" customHeight="1">
      <c r="B16" s="53"/>
      <c r="C16" s="15" t="s">
        <v>244</v>
      </c>
      <c r="D16" s="16" t="s">
        <v>245</v>
      </c>
      <c r="E16" s="15">
        <v>2000</v>
      </c>
      <c r="F16" s="16">
        <v>1600</v>
      </c>
      <c r="G16" s="15" t="s">
        <v>231</v>
      </c>
      <c r="H16" s="15" t="s">
        <v>232</v>
      </c>
      <c r="I16" s="15">
        <v>1400</v>
      </c>
      <c r="J16" s="16" t="s">
        <v>246</v>
      </c>
      <c r="K16" s="15">
        <v>17</v>
      </c>
      <c r="L16" s="15" t="s">
        <v>247</v>
      </c>
      <c r="M16" s="15">
        <v>12</v>
      </c>
      <c r="N16" s="16">
        <v>20</v>
      </c>
      <c r="O16" s="16">
        <v>15</v>
      </c>
      <c r="P16" s="15">
        <v>38</v>
      </c>
      <c r="Q16" s="15">
        <v>33600</v>
      </c>
      <c r="R16" s="15">
        <v>29000</v>
      </c>
      <c r="S16" s="15">
        <v>600</v>
      </c>
      <c r="T16" s="15">
        <v>150</v>
      </c>
      <c r="U16" s="15">
        <v>37</v>
      </c>
      <c r="V16" s="16" t="s">
        <v>53</v>
      </c>
      <c r="W16" s="15">
        <v>21</v>
      </c>
      <c r="X16" s="15" t="s">
        <v>248</v>
      </c>
      <c r="Y16" s="16">
        <v>890</v>
      </c>
      <c r="Z16" s="15" t="s">
        <v>234</v>
      </c>
      <c r="AA16" s="15">
        <v>120</v>
      </c>
      <c r="AB16" s="16">
        <v>552</v>
      </c>
      <c r="AC16" s="16">
        <v>395</v>
      </c>
      <c r="AD16" s="15">
        <v>395</v>
      </c>
      <c r="AE16" s="15" t="s">
        <v>177</v>
      </c>
      <c r="AF16" s="15">
        <v>75</v>
      </c>
      <c r="AG16" s="15">
        <v>500</v>
      </c>
      <c r="AH16" s="15">
        <v>61</v>
      </c>
      <c r="AI16" s="15">
        <v>80</v>
      </c>
      <c r="AJ16" s="15" t="s">
        <v>249</v>
      </c>
      <c r="AK16" s="10" t="s">
        <v>237</v>
      </c>
      <c r="AL16" s="16" t="s">
        <v>238</v>
      </c>
      <c r="AM16" s="15">
        <v>250</v>
      </c>
      <c r="AN16" s="26">
        <v>4636</v>
      </c>
      <c r="AO16" s="2"/>
    </row>
    <row r="17" spans="2:41" ht="33.75" customHeight="1">
      <c r="B17" s="53" t="s">
        <v>250</v>
      </c>
      <c r="C17" s="10" t="s">
        <v>251</v>
      </c>
      <c r="D17" s="20" t="s">
        <v>252</v>
      </c>
      <c r="E17" s="10">
        <v>640</v>
      </c>
      <c r="F17" s="10">
        <v>640</v>
      </c>
      <c r="G17" s="20" t="s">
        <v>253</v>
      </c>
      <c r="H17" s="10" t="s">
        <v>254</v>
      </c>
      <c r="I17" s="10" t="s">
        <v>255</v>
      </c>
      <c r="J17" s="10" t="s">
        <v>256</v>
      </c>
      <c r="K17" s="10">
        <v>190</v>
      </c>
      <c r="L17" s="10" t="s">
        <v>257</v>
      </c>
      <c r="M17" s="10">
        <v>181</v>
      </c>
      <c r="N17" s="10" t="s">
        <v>258</v>
      </c>
      <c r="O17" s="10" t="s">
        <v>259</v>
      </c>
      <c r="P17" s="10" t="s">
        <v>260</v>
      </c>
      <c r="Q17" s="10">
        <v>30000</v>
      </c>
      <c r="R17" s="10">
        <v>2500</v>
      </c>
      <c r="S17" s="10">
        <v>300</v>
      </c>
      <c r="T17" s="10">
        <v>200</v>
      </c>
      <c r="U17" s="10">
        <v>37</v>
      </c>
      <c r="V17" s="16" t="s">
        <v>53</v>
      </c>
      <c r="W17" s="10">
        <v>30</v>
      </c>
      <c r="X17" s="10" t="s">
        <v>261</v>
      </c>
      <c r="Y17" s="10">
        <v>2500</v>
      </c>
      <c r="Z17" s="10">
        <v>6</v>
      </c>
      <c r="AA17" s="20">
        <v>120</v>
      </c>
      <c r="AB17" s="10" t="s">
        <v>262</v>
      </c>
      <c r="AC17" s="10" t="s">
        <v>263</v>
      </c>
      <c r="AD17" s="10" t="s">
        <v>263</v>
      </c>
      <c r="AE17" s="10" t="s">
        <v>158</v>
      </c>
      <c r="AF17" s="10">
        <v>95</v>
      </c>
      <c r="AG17" s="10">
        <v>250</v>
      </c>
      <c r="AH17" s="20">
        <v>65</v>
      </c>
      <c r="AI17" s="10" t="s">
        <v>264</v>
      </c>
      <c r="AJ17" s="10" t="s">
        <v>265</v>
      </c>
      <c r="AK17" s="10" t="s">
        <v>266</v>
      </c>
      <c r="AL17" s="10" t="s">
        <v>267</v>
      </c>
      <c r="AM17" s="10">
        <v>300</v>
      </c>
      <c r="AN17" s="13">
        <v>3000</v>
      </c>
      <c r="AO17" s="2"/>
    </row>
    <row r="18" spans="2:41" ht="33.75" customHeight="1">
      <c r="B18" s="54"/>
      <c r="C18" s="10" t="s">
        <v>268</v>
      </c>
      <c r="D18" s="20" t="s">
        <v>252</v>
      </c>
      <c r="E18" s="10">
        <v>640</v>
      </c>
      <c r="F18" s="10">
        <v>640</v>
      </c>
      <c r="G18" s="20" t="s">
        <v>253</v>
      </c>
      <c r="H18" s="10" t="s">
        <v>254</v>
      </c>
      <c r="I18" s="10" t="s">
        <v>269</v>
      </c>
      <c r="J18" s="10" t="s">
        <v>256</v>
      </c>
      <c r="K18" s="10">
        <v>190</v>
      </c>
      <c r="L18" s="10" t="s">
        <v>257</v>
      </c>
      <c r="M18" s="10">
        <v>181</v>
      </c>
      <c r="N18" s="10" t="s">
        <v>258</v>
      </c>
      <c r="O18" s="10" t="s">
        <v>259</v>
      </c>
      <c r="P18" s="10" t="s">
        <v>260</v>
      </c>
      <c r="Q18" s="10">
        <v>30000</v>
      </c>
      <c r="R18" s="10">
        <v>2500</v>
      </c>
      <c r="S18" s="10">
        <v>300</v>
      </c>
      <c r="T18" s="10">
        <v>200</v>
      </c>
      <c r="U18" s="10">
        <v>37</v>
      </c>
      <c r="V18" s="16" t="s">
        <v>53</v>
      </c>
      <c r="W18" s="10">
        <v>30</v>
      </c>
      <c r="X18" s="10" t="s">
        <v>261</v>
      </c>
      <c r="Y18" s="10">
        <v>2500</v>
      </c>
      <c r="Z18" s="10">
        <v>6</v>
      </c>
      <c r="AA18" s="20">
        <v>120</v>
      </c>
      <c r="AB18" s="10" t="s">
        <v>270</v>
      </c>
      <c r="AC18" s="10" t="s">
        <v>271</v>
      </c>
      <c r="AD18" s="10" t="s">
        <v>271</v>
      </c>
      <c r="AE18" s="10" t="s">
        <v>158</v>
      </c>
      <c r="AF18" s="10">
        <v>95</v>
      </c>
      <c r="AG18" s="10">
        <v>250</v>
      </c>
      <c r="AH18" s="20">
        <v>65</v>
      </c>
      <c r="AI18" s="10">
        <v>95</v>
      </c>
      <c r="AJ18" s="10" t="s">
        <v>272</v>
      </c>
      <c r="AK18" s="10" t="s">
        <v>273</v>
      </c>
      <c r="AL18" s="10" t="s">
        <v>267</v>
      </c>
      <c r="AM18" s="10">
        <v>300</v>
      </c>
      <c r="AN18" s="13">
        <v>3000</v>
      </c>
      <c r="AO18" s="2"/>
    </row>
    <row r="19" spans="2:41" ht="27.75" customHeight="1">
      <c r="B19" s="55" t="s">
        <v>274</v>
      </c>
      <c r="C19" s="15" t="s">
        <v>275</v>
      </c>
      <c r="D19" s="15" t="s">
        <v>276</v>
      </c>
      <c r="E19" s="15">
        <v>1000</v>
      </c>
      <c r="F19" s="16">
        <v>800</v>
      </c>
      <c r="G19" s="15" t="s">
        <v>277</v>
      </c>
      <c r="H19" s="15" t="s">
        <v>278</v>
      </c>
      <c r="I19" s="15">
        <v>100</v>
      </c>
      <c r="J19" s="16" t="s">
        <v>247</v>
      </c>
      <c r="K19" s="15" t="s">
        <v>279</v>
      </c>
      <c r="L19" s="15" t="s">
        <v>280</v>
      </c>
      <c r="M19" s="15" t="s">
        <v>281</v>
      </c>
      <c r="N19" s="16">
        <v>14</v>
      </c>
      <c r="O19" s="16">
        <v>10</v>
      </c>
      <c r="P19" s="15">
        <v>32</v>
      </c>
      <c r="Q19" s="15">
        <v>4300</v>
      </c>
      <c r="R19" s="15">
        <v>4000</v>
      </c>
      <c r="S19" s="15">
        <v>300</v>
      </c>
      <c r="T19" s="15">
        <v>40</v>
      </c>
      <c r="U19" s="15">
        <v>37</v>
      </c>
      <c r="V19" s="16" t="s">
        <v>53</v>
      </c>
      <c r="W19" s="15">
        <v>21</v>
      </c>
      <c r="X19" s="15" t="s">
        <v>282</v>
      </c>
      <c r="Y19" s="16">
        <v>850</v>
      </c>
      <c r="Z19" s="15" t="s">
        <v>283</v>
      </c>
      <c r="AA19" s="15">
        <v>0</v>
      </c>
      <c r="AB19" s="20">
        <v>350</v>
      </c>
      <c r="AC19" s="20">
        <v>220</v>
      </c>
      <c r="AD19" s="10">
        <v>220</v>
      </c>
      <c r="AE19" s="10" t="s">
        <v>282</v>
      </c>
      <c r="AF19" s="10">
        <v>60</v>
      </c>
      <c r="AG19" s="10">
        <v>45</v>
      </c>
      <c r="AH19" s="10">
        <v>59</v>
      </c>
      <c r="AI19" s="10">
        <v>63</v>
      </c>
      <c r="AJ19" s="10" t="s">
        <v>284</v>
      </c>
      <c r="AK19" s="10">
        <v>7</v>
      </c>
      <c r="AL19" s="20" t="s">
        <v>285</v>
      </c>
      <c r="AM19" s="10">
        <v>180</v>
      </c>
      <c r="AN19" s="27">
        <v>4000</v>
      </c>
      <c r="AO19" s="2"/>
    </row>
    <row r="20" spans="2:41" ht="27.75" customHeight="1">
      <c r="B20" s="55"/>
      <c r="C20" s="15" t="s">
        <v>286</v>
      </c>
      <c r="D20" s="15" t="s">
        <v>287</v>
      </c>
      <c r="E20" s="15">
        <v>1000</v>
      </c>
      <c r="F20" s="16">
        <v>800</v>
      </c>
      <c r="G20" s="15" t="s">
        <v>277</v>
      </c>
      <c r="H20" s="15" t="s">
        <v>278</v>
      </c>
      <c r="I20" s="15">
        <v>100</v>
      </c>
      <c r="J20" s="16" t="s">
        <v>171</v>
      </c>
      <c r="K20" s="15" t="s">
        <v>288</v>
      </c>
      <c r="L20" s="15" t="s">
        <v>289</v>
      </c>
      <c r="M20" s="15" t="s">
        <v>290</v>
      </c>
      <c r="N20" s="16">
        <v>15</v>
      </c>
      <c r="O20" s="16">
        <v>10</v>
      </c>
      <c r="P20" s="15">
        <v>32</v>
      </c>
      <c r="Q20" s="15">
        <v>5000</v>
      </c>
      <c r="R20" s="15">
        <v>4000</v>
      </c>
      <c r="S20" s="15">
        <v>300</v>
      </c>
      <c r="T20" s="15">
        <v>50</v>
      </c>
      <c r="U20" s="15">
        <v>37</v>
      </c>
      <c r="V20" s="16" t="s">
        <v>53</v>
      </c>
      <c r="W20" s="15">
        <v>21</v>
      </c>
      <c r="X20" s="15" t="s">
        <v>291</v>
      </c>
      <c r="Y20" s="16">
        <v>870</v>
      </c>
      <c r="Z20" s="15" t="s">
        <v>246</v>
      </c>
      <c r="AA20" s="15">
        <v>0</v>
      </c>
      <c r="AB20" s="20">
        <v>427</v>
      </c>
      <c r="AC20" s="20">
        <v>260</v>
      </c>
      <c r="AD20" s="10">
        <v>260</v>
      </c>
      <c r="AE20" s="10" t="s">
        <v>292</v>
      </c>
      <c r="AF20" s="10">
        <v>68</v>
      </c>
      <c r="AG20" s="10">
        <v>55</v>
      </c>
      <c r="AH20" s="10">
        <v>61</v>
      </c>
      <c r="AI20" s="10">
        <v>80</v>
      </c>
      <c r="AJ20" s="10" t="s">
        <v>293</v>
      </c>
      <c r="AK20" s="10">
        <v>6</v>
      </c>
      <c r="AL20" s="20" t="s">
        <v>159</v>
      </c>
      <c r="AM20" s="10">
        <v>150</v>
      </c>
      <c r="AN20" s="27">
        <v>4200</v>
      </c>
      <c r="AO20" s="2"/>
    </row>
    <row r="21" spans="2:41" ht="27.75" customHeight="1">
      <c r="B21" s="55"/>
      <c r="C21" s="15" t="s">
        <v>294</v>
      </c>
      <c r="D21" s="15" t="s">
        <v>295</v>
      </c>
      <c r="E21" s="15">
        <v>1000</v>
      </c>
      <c r="F21" s="16">
        <v>800</v>
      </c>
      <c r="G21" s="15" t="s">
        <v>277</v>
      </c>
      <c r="H21" s="15" t="s">
        <v>278</v>
      </c>
      <c r="I21" s="15">
        <v>100</v>
      </c>
      <c r="J21" s="16" t="s">
        <v>246</v>
      </c>
      <c r="K21" s="15" t="s">
        <v>296</v>
      </c>
      <c r="L21" s="15" t="s">
        <v>297</v>
      </c>
      <c r="M21" s="15" t="s">
        <v>298</v>
      </c>
      <c r="N21" s="16">
        <v>16</v>
      </c>
      <c r="O21" s="16">
        <v>10</v>
      </c>
      <c r="P21" s="15">
        <v>32</v>
      </c>
      <c r="Q21" s="15">
        <v>5500</v>
      </c>
      <c r="R21" s="15">
        <v>4100</v>
      </c>
      <c r="S21" s="15">
        <v>300</v>
      </c>
      <c r="T21" s="15">
        <v>60</v>
      </c>
      <c r="U21" s="15">
        <v>37</v>
      </c>
      <c r="V21" s="16" t="s">
        <v>53</v>
      </c>
      <c r="W21" s="15">
        <v>21</v>
      </c>
      <c r="X21" s="15" t="s">
        <v>291</v>
      </c>
      <c r="Y21" s="16">
        <v>880</v>
      </c>
      <c r="Z21" s="15" t="s">
        <v>234</v>
      </c>
      <c r="AA21" s="15">
        <v>0</v>
      </c>
      <c r="AB21" s="20">
        <v>416</v>
      </c>
      <c r="AC21" s="20">
        <v>240</v>
      </c>
      <c r="AD21" s="10">
        <v>240</v>
      </c>
      <c r="AE21" s="10" t="s">
        <v>162</v>
      </c>
      <c r="AF21" s="10">
        <v>63</v>
      </c>
      <c r="AG21" s="10">
        <v>58</v>
      </c>
      <c r="AH21" s="10">
        <v>60</v>
      </c>
      <c r="AI21" s="10">
        <v>75</v>
      </c>
      <c r="AJ21" s="10" t="s">
        <v>59</v>
      </c>
      <c r="AK21" s="10">
        <v>6</v>
      </c>
      <c r="AL21" s="20" t="s">
        <v>267</v>
      </c>
      <c r="AM21" s="10">
        <v>180</v>
      </c>
      <c r="AN21" s="27">
        <v>4300</v>
      </c>
      <c r="AO21" s="2"/>
    </row>
    <row r="22" spans="2:41" ht="27.75" customHeight="1">
      <c r="B22" s="55"/>
      <c r="C22" s="15" t="s">
        <v>299</v>
      </c>
      <c r="D22" s="15" t="s">
        <v>300</v>
      </c>
      <c r="E22" s="15">
        <v>1000</v>
      </c>
      <c r="F22" s="16">
        <v>800</v>
      </c>
      <c r="G22" s="15" t="s">
        <v>277</v>
      </c>
      <c r="H22" s="15" t="s">
        <v>278</v>
      </c>
      <c r="I22" s="15">
        <v>100</v>
      </c>
      <c r="J22" s="16" t="s">
        <v>301</v>
      </c>
      <c r="K22" s="15" t="s">
        <v>302</v>
      </c>
      <c r="L22" s="15" t="s">
        <v>171</v>
      </c>
      <c r="M22" s="15" t="s">
        <v>288</v>
      </c>
      <c r="N22" s="16">
        <v>16</v>
      </c>
      <c r="O22" s="16">
        <v>10</v>
      </c>
      <c r="P22" s="15">
        <v>32</v>
      </c>
      <c r="Q22" s="15">
        <v>6000</v>
      </c>
      <c r="R22" s="15">
        <v>4300</v>
      </c>
      <c r="S22" s="15">
        <v>300</v>
      </c>
      <c r="T22" s="15">
        <v>65</v>
      </c>
      <c r="U22" s="15">
        <v>37</v>
      </c>
      <c r="V22" s="16" t="s">
        <v>53</v>
      </c>
      <c r="W22" s="15">
        <v>21</v>
      </c>
      <c r="X22" s="15" t="s">
        <v>291</v>
      </c>
      <c r="Y22" s="16">
        <v>890</v>
      </c>
      <c r="Z22" s="15" t="s">
        <v>234</v>
      </c>
      <c r="AA22" s="15">
        <v>0</v>
      </c>
      <c r="AB22" s="20">
        <v>272</v>
      </c>
      <c r="AC22" s="20">
        <v>160</v>
      </c>
      <c r="AD22" s="10">
        <v>160</v>
      </c>
      <c r="AE22" s="10" t="s">
        <v>303</v>
      </c>
      <c r="AF22" s="10">
        <v>50</v>
      </c>
      <c r="AG22" s="10">
        <v>60</v>
      </c>
      <c r="AH22" s="10">
        <v>58</v>
      </c>
      <c r="AI22" s="10">
        <v>55</v>
      </c>
      <c r="AJ22" s="10" t="s">
        <v>304</v>
      </c>
      <c r="AK22" s="10">
        <v>8</v>
      </c>
      <c r="AL22" s="20" t="s">
        <v>305</v>
      </c>
      <c r="AM22" s="10">
        <v>210</v>
      </c>
      <c r="AN22" s="27">
        <v>3900</v>
      </c>
      <c r="AO22" s="2"/>
    </row>
    <row r="23" spans="2:41" ht="27.75" customHeight="1">
      <c r="B23" s="55"/>
      <c r="C23" s="15" t="s">
        <v>306</v>
      </c>
      <c r="D23" s="15" t="s">
        <v>307</v>
      </c>
      <c r="E23" s="15">
        <v>1000</v>
      </c>
      <c r="F23" s="16">
        <v>800</v>
      </c>
      <c r="G23" s="15" t="s">
        <v>277</v>
      </c>
      <c r="H23" s="15" t="s">
        <v>278</v>
      </c>
      <c r="I23" s="15">
        <v>100</v>
      </c>
      <c r="J23" s="16" t="s">
        <v>308</v>
      </c>
      <c r="K23" s="15" t="s">
        <v>309</v>
      </c>
      <c r="L23" s="15" t="s">
        <v>283</v>
      </c>
      <c r="M23" s="15" t="s">
        <v>310</v>
      </c>
      <c r="N23" s="16">
        <v>12</v>
      </c>
      <c r="O23" s="16">
        <v>10</v>
      </c>
      <c r="P23" s="15">
        <v>32</v>
      </c>
      <c r="Q23" s="15">
        <v>6200</v>
      </c>
      <c r="R23" s="15">
        <v>4400</v>
      </c>
      <c r="S23" s="15">
        <v>300</v>
      </c>
      <c r="T23" s="15">
        <v>70</v>
      </c>
      <c r="U23" s="15">
        <v>37</v>
      </c>
      <c r="V23" s="16" t="s">
        <v>53</v>
      </c>
      <c r="W23" s="15">
        <v>21</v>
      </c>
      <c r="X23" s="15" t="s">
        <v>291</v>
      </c>
      <c r="Y23" s="16">
        <v>890</v>
      </c>
      <c r="Z23" s="15" t="s">
        <v>234</v>
      </c>
      <c r="AA23" s="15">
        <v>0</v>
      </c>
      <c r="AB23" s="20">
        <v>190</v>
      </c>
      <c r="AC23" s="20">
        <v>115</v>
      </c>
      <c r="AD23" s="10">
        <v>115</v>
      </c>
      <c r="AE23" s="10" t="s">
        <v>311</v>
      </c>
      <c r="AF23" s="10">
        <v>35</v>
      </c>
      <c r="AG23" s="10">
        <v>65</v>
      </c>
      <c r="AH23" s="10">
        <v>55</v>
      </c>
      <c r="AI23" s="10">
        <v>33</v>
      </c>
      <c r="AJ23" s="10" t="s">
        <v>285</v>
      </c>
      <c r="AK23" s="10">
        <v>9</v>
      </c>
      <c r="AL23" s="20" t="s">
        <v>285</v>
      </c>
      <c r="AM23" s="10">
        <v>230</v>
      </c>
      <c r="AN23" s="27">
        <v>3700</v>
      </c>
      <c r="AO23" s="2"/>
    </row>
    <row r="24" spans="2:41" ht="33.75" customHeight="1">
      <c r="B24" s="53" t="s">
        <v>312</v>
      </c>
      <c r="C24" s="15" t="s">
        <v>313</v>
      </c>
      <c r="D24" s="15" t="s">
        <v>314</v>
      </c>
      <c r="E24" s="15">
        <v>1000</v>
      </c>
      <c r="F24" s="16">
        <v>800</v>
      </c>
      <c r="G24" s="15" t="s">
        <v>315</v>
      </c>
      <c r="H24" s="15" t="s">
        <v>316</v>
      </c>
      <c r="I24" s="15">
        <v>200</v>
      </c>
      <c r="J24" s="16" t="s">
        <v>317</v>
      </c>
      <c r="K24" s="16">
        <v>38</v>
      </c>
      <c r="L24" s="15" t="s">
        <v>318</v>
      </c>
      <c r="M24" s="16">
        <v>31</v>
      </c>
      <c r="N24" s="16" t="s">
        <v>319</v>
      </c>
      <c r="O24" s="16">
        <v>5</v>
      </c>
      <c r="P24" s="16">
        <v>18</v>
      </c>
      <c r="Q24" s="16">
        <v>73500</v>
      </c>
      <c r="R24" s="16">
        <v>62400</v>
      </c>
      <c r="S24" s="16">
        <v>210</v>
      </c>
      <c r="T24" s="15">
        <v>145</v>
      </c>
      <c r="U24" s="15">
        <v>37</v>
      </c>
      <c r="V24" s="16" t="s">
        <v>53</v>
      </c>
      <c r="W24" s="15">
        <v>25</v>
      </c>
      <c r="X24" s="15" t="s">
        <v>320</v>
      </c>
      <c r="Y24" s="16">
        <v>2100</v>
      </c>
      <c r="Z24" s="16" t="s">
        <v>321</v>
      </c>
      <c r="AA24" s="15">
        <v>120</v>
      </c>
      <c r="AB24" s="16">
        <v>473</v>
      </c>
      <c r="AC24" s="16">
        <v>288</v>
      </c>
      <c r="AD24" s="15">
        <v>288</v>
      </c>
      <c r="AE24" s="16" t="s">
        <v>322</v>
      </c>
      <c r="AF24" s="15">
        <v>70</v>
      </c>
      <c r="AG24" s="15">
        <v>320</v>
      </c>
      <c r="AH24" s="16">
        <v>61</v>
      </c>
      <c r="AI24" s="15">
        <v>82</v>
      </c>
      <c r="AJ24" s="16" t="s">
        <v>323</v>
      </c>
      <c r="AK24" s="16" t="s">
        <v>318</v>
      </c>
      <c r="AL24" s="16" t="s">
        <v>324</v>
      </c>
      <c r="AM24" s="16">
        <v>150</v>
      </c>
      <c r="AN24" s="26">
        <v>3700</v>
      </c>
      <c r="AO24" s="2"/>
    </row>
    <row r="25" spans="2:41" ht="33.75" customHeight="1">
      <c r="B25" s="54"/>
      <c r="C25" s="15" t="s">
        <v>325</v>
      </c>
      <c r="D25" s="15" t="s">
        <v>326</v>
      </c>
      <c r="E25" s="15">
        <v>1000</v>
      </c>
      <c r="F25" s="16">
        <v>800</v>
      </c>
      <c r="G25" s="15" t="s">
        <v>315</v>
      </c>
      <c r="H25" s="15" t="s">
        <v>316</v>
      </c>
      <c r="I25" s="15">
        <v>200</v>
      </c>
      <c r="J25" s="16" t="s">
        <v>317</v>
      </c>
      <c r="K25" s="16">
        <v>38</v>
      </c>
      <c r="L25" s="15" t="s">
        <v>318</v>
      </c>
      <c r="M25" s="16">
        <v>31</v>
      </c>
      <c r="N25" s="16" t="s">
        <v>319</v>
      </c>
      <c r="O25" s="16">
        <v>5</v>
      </c>
      <c r="P25" s="16">
        <v>18</v>
      </c>
      <c r="Q25" s="16">
        <v>73500</v>
      </c>
      <c r="R25" s="16">
        <v>62400</v>
      </c>
      <c r="S25" s="16">
        <v>230</v>
      </c>
      <c r="T25" s="15">
        <v>150</v>
      </c>
      <c r="U25" s="15">
        <v>37</v>
      </c>
      <c r="V25" s="16" t="s">
        <v>53</v>
      </c>
      <c r="W25" s="15">
        <f>25*(12+13)</f>
        <v>625</v>
      </c>
      <c r="X25" s="15" t="s">
        <v>327</v>
      </c>
      <c r="Y25" s="16">
        <v>2300</v>
      </c>
      <c r="Z25" s="16" t="s">
        <v>321</v>
      </c>
      <c r="AA25" s="15">
        <v>120</v>
      </c>
      <c r="AB25" s="16">
        <v>601</v>
      </c>
      <c r="AC25" s="16">
        <v>396</v>
      </c>
      <c r="AD25" s="15">
        <v>396</v>
      </c>
      <c r="AE25" s="16" t="s">
        <v>328</v>
      </c>
      <c r="AF25" s="15">
        <v>78</v>
      </c>
      <c r="AG25" s="15">
        <v>340</v>
      </c>
      <c r="AH25" s="16">
        <v>66</v>
      </c>
      <c r="AI25" s="15">
        <v>92</v>
      </c>
      <c r="AJ25" s="16" t="s">
        <v>329</v>
      </c>
      <c r="AK25" s="16" t="s">
        <v>330</v>
      </c>
      <c r="AL25" s="16" t="s">
        <v>331</v>
      </c>
      <c r="AM25" s="16">
        <v>120</v>
      </c>
      <c r="AN25" s="26">
        <v>3900</v>
      </c>
      <c r="AO25" s="2"/>
    </row>
    <row r="26" spans="2:41" ht="27.75" customHeight="1">
      <c r="B26" s="53" t="s">
        <v>332</v>
      </c>
      <c r="C26" s="10" t="s">
        <v>333</v>
      </c>
      <c r="D26" s="10" t="s">
        <v>334</v>
      </c>
      <c r="E26" s="10">
        <v>7000</v>
      </c>
      <c r="F26" s="10">
        <v>5000</v>
      </c>
      <c r="G26" s="20" t="s">
        <v>253</v>
      </c>
      <c r="H26" s="10" t="s">
        <v>335</v>
      </c>
      <c r="I26" s="10">
        <v>2000</v>
      </c>
      <c r="J26" s="10">
        <v>14</v>
      </c>
      <c r="K26" s="10">
        <v>59</v>
      </c>
      <c r="L26" s="10">
        <v>80</v>
      </c>
      <c r="M26" s="10" t="s">
        <v>336</v>
      </c>
      <c r="N26" s="10">
        <v>12</v>
      </c>
      <c r="O26" s="10" t="s">
        <v>337</v>
      </c>
      <c r="P26" s="10">
        <v>45</v>
      </c>
      <c r="Q26" s="10">
        <v>325700</v>
      </c>
      <c r="R26" s="10"/>
      <c r="S26" s="10">
        <v>384</v>
      </c>
      <c r="T26" s="10">
        <v>200</v>
      </c>
      <c r="U26" s="10">
        <v>30</v>
      </c>
      <c r="V26" s="16" t="s">
        <v>53</v>
      </c>
      <c r="W26" s="10">
        <v>22</v>
      </c>
      <c r="X26" s="10" t="s">
        <v>324</v>
      </c>
      <c r="Y26" s="10">
        <v>3000</v>
      </c>
      <c r="Z26" s="10" t="s">
        <v>338</v>
      </c>
      <c r="AA26" s="10">
        <v>400</v>
      </c>
      <c r="AB26" s="10">
        <v>51</v>
      </c>
      <c r="AC26" s="10">
        <v>260</v>
      </c>
      <c r="AD26" s="10" t="s">
        <v>339</v>
      </c>
      <c r="AE26" s="10" t="s">
        <v>340</v>
      </c>
      <c r="AF26" s="10" t="s">
        <v>341</v>
      </c>
      <c r="AG26" s="10">
        <v>300</v>
      </c>
      <c r="AH26" s="10" t="s">
        <v>342</v>
      </c>
      <c r="AI26" s="10">
        <v>60</v>
      </c>
      <c r="AJ26" s="10" t="s">
        <v>343</v>
      </c>
      <c r="AK26" s="10">
        <v>11</v>
      </c>
      <c r="AL26" s="10" t="s">
        <v>344</v>
      </c>
      <c r="AM26" s="10">
        <v>360</v>
      </c>
      <c r="AN26" s="13">
        <v>3500</v>
      </c>
      <c r="AO26" s="2"/>
    </row>
    <row r="27" spans="2:41">
      <c r="B27" s="54"/>
      <c r="C27" s="10" t="s">
        <v>345</v>
      </c>
      <c r="D27" s="10" t="s">
        <v>334</v>
      </c>
      <c r="E27" s="10">
        <v>7000</v>
      </c>
      <c r="F27" s="10">
        <v>5000</v>
      </c>
      <c r="G27" s="20" t="s">
        <v>253</v>
      </c>
      <c r="H27" s="10" t="s">
        <v>335</v>
      </c>
      <c r="I27" s="10">
        <v>2000</v>
      </c>
      <c r="J27" s="10">
        <v>14</v>
      </c>
      <c r="K27" s="10">
        <v>59</v>
      </c>
      <c r="L27" s="10">
        <v>80</v>
      </c>
      <c r="M27" s="10">
        <v>54</v>
      </c>
      <c r="N27" s="10">
        <v>12</v>
      </c>
      <c r="O27" s="10" t="s">
        <v>337</v>
      </c>
      <c r="P27" s="10">
        <v>45</v>
      </c>
      <c r="Q27" s="10">
        <v>325700</v>
      </c>
      <c r="R27" s="10"/>
      <c r="S27" s="10" t="s">
        <v>346</v>
      </c>
      <c r="T27" s="10">
        <v>200</v>
      </c>
      <c r="U27" s="10">
        <v>37</v>
      </c>
      <c r="V27" s="16" t="s">
        <v>53</v>
      </c>
      <c r="W27" s="10">
        <v>20</v>
      </c>
      <c r="X27" s="10" t="s">
        <v>344</v>
      </c>
      <c r="Y27" s="10">
        <v>3000</v>
      </c>
      <c r="Z27" s="10" t="s">
        <v>347</v>
      </c>
      <c r="AA27" s="10">
        <v>400</v>
      </c>
      <c r="AB27" s="10">
        <v>119</v>
      </c>
      <c r="AC27" s="10">
        <v>290</v>
      </c>
      <c r="AD27" s="10" t="s">
        <v>348</v>
      </c>
      <c r="AE27" s="10" t="s">
        <v>349</v>
      </c>
      <c r="AF27" s="10" t="s">
        <v>350</v>
      </c>
      <c r="AG27" s="10">
        <v>300</v>
      </c>
      <c r="AH27" s="10" t="s">
        <v>342</v>
      </c>
      <c r="AI27" s="10">
        <v>60</v>
      </c>
      <c r="AJ27" s="10" t="s">
        <v>351</v>
      </c>
      <c r="AK27" s="10">
        <v>13</v>
      </c>
      <c r="AL27" s="10" t="s">
        <v>331</v>
      </c>
      <c r="AM27" s="10" t="s">
        <v>346</v>
      </c>
      <c r="AN27" s="13">
        <v>3500</v>
      </c>
      <c r="AO27" s="2"/>
    </row>
    <row r="28" spans="2:41">
      <c r="B28" s="54"/>
      <c r="C28" s="10" t="s">
        <v>352</v>
      </c>
      <c r="D28" s="10" t="s">
        <v>334</v>
      </c>
      <c r="E28" s="10">
        <v>7000</v>
      </c>
      <c r="F28" s="10">
        <v>5000</v>
      </c>
      <c r="G28" s="20" t="s">
        <v>253</v>
      </c>
      <c r="H28" s="10" t="s">
        <v>335</v>
      </c>
      <c r="I28" s="10">
        <v>2000</v>
      </c>
      <c r="J28" s="10">
        <v>14</v>
      </c>
      <c r="K28" s="10">
        <v>59</v>
      </c>
      <c r="L28" s="10">
        <v>80</v>
      </c>
      <c r="M28" s="10" t="s">
        <v>336</v>
      </c>
      <c r="N28" s="10">
        <v>12</v>
      </c>
      <c r="O28" s="10" t="s">
        <v>337</v>
      </c>
      <c r="P28" s="10">
        <v>45</v>
      </c>
      <c r="Q28" s="10">
        <v>325700</v>
      </c>
      <c r="R28" s="10"/>
      <c r="S28" s="10" t="s">
        <v>353</v>
      </c>
      <c r="T28" s="10">
        <v>200</v>
      </c>
      <c r="U28" s="10">
        <v>37</v>
      </c>
      <c r="V28" s="16" t="s">
        <v>53</v>
      </c>
      <c r="W28" s="10">
        <v>17</v>
      </c>
      <c r="X28" s="10" t="s">
        <v>354</v>
      </c>
      <c r="Y28" s="10">
        <v>3000</v>
      </c>
      <c r="Z28" s="10" t="s">
        <v>355</v>
      </c>
      <c r="AA28" s="10">
        <v>0</v>
      </c>
      <c r="AB28" s="10">
        <v>248</v>
      </c>
      <c r="AC28" s="10">
        <v>390</v>
      </c>
      <c r="AD28" s="10" t="s">
        <v>356</v>
      </c>
      <c r="AE28" s="10" t="s">
        <v>357</v>
      </c>
      <c r="AF28" s="10" t="s">
        <v>358</v>
      </c>
      <c r="AG28" s="10">
        <v>300</v>
      </c>
      <c r="AH28" s="10" t="s">
        <v>342</v>
      </c>
      <c r="AI28" s="10">
        <v>65</v>
      </c>
      <c r="AJ28" s="10" t="s">
        <v>359</v>
      </c>
      <c r="AK28" s="10">
        <v>10</v>
      </c>
      <c r="AL28" s="10" t="s">
        <v>360</v>
      </c>
      <c r="AM28" s="10" t="s">
        <v>353</v>
      </c>
      <c r="AN28" s="13">
        <v>3500</v>
      </c>
      <c r="AO28" s="2"/>
    </row>
    <row r="29" spans="2:41">
      <c r="B29" s="54"/>
      <c r="C29" s="10" t="s">
        <v>361</v>
      </c>
      <c r="D29" s="10" t="s">
        <v>334</v>
      </c>
      <c r="E29" s="10">
        <v>7000</v>
      </c>
      <c r="F29" s="10">
        <v>5000</v>
      </c>
      <c r="G29" s="20" t="s">
        <v>253</v>
      </c>
      <c r="H29" s="10" t="s">
        <v>335</v>
      </c>
      <c r="I29" s="10">
        <v>2000</v>
      </c>
      <c r="J29" s="10">
        <v>14</v>
      </c>
      <c r="K29" s="10">
        <v>59</v>
      </c>
      <c r="L29" s="10">
        <v>80</v>
      </c>
      <c r="M29" s="10" t="s">
        <v>362</v>
      </c>
      <c r="N29" s="10">
        <v>12</v>
      </c>
      <c r="O29" s="10" t="s">
        <v>337</v>
      </c>
      <c r="P29" s="10">
        <v>45</v>
      </c>
      <c r="Q29" s="10">
        <v>325700</v>
      </c>
      <c r="R29" s="10"/>
      <c r="S29" s="10">
        <v>516</v>
      </c>
      <c r="T29" s="10">
        <v>200</v>
      </c>
      <c r="U29" s="10">
        <v>30</v>
      </c>
      <c r="V29" s="16" t="s">
        <v>53</v>
      </c>
      <c r="W29" s="10">
        <v>20</v>
      </c>
      <c r="X29" s="10" t="s">
        <v>331</v>
      </c>
      <c r="Y29" s="10">
        <v>3000</v>
      </c>
      <c r="Z29" s="10" t="s">
        <v>363</v>
      </c>
      <c r="AA29" s="10">
        <v>0</v>
      </c>
      <c r="AB29" s="10">
        <v>120</v>
      </c>
      <c r="AC29" s="10">
        <v>220</v>
      </c>
      <c r="AD29" s="10" t="s">
        <v>364</v>
      </c>
      <c r="AE29" s="10" t="s">
        <v>365</v>
      </c>
      <c r="AF29" s="10" t="s">
        <v>366</v>
      </c>
      <c r="AG29" s="10">
        <v>300</v>
      </c>
      <c r="AH29" s="10" t="s">
        <v>342</v>
      </c>
      <c r="AI29" s="10">
        <v>35</v>
      </c>
      <c r="AJ29" s="10" t="s">
        <v>367</v>
      </c>
      <c r="AK29" s="10" t="s">
        <v>368</v>
      </c>
      <c r="AL29" s="10" t="s">
        <v>369</v>
      </c>
      <c r="AM29" s="10">
        <v>516</v>
      </c>
      <c r="AN29" s="13">
        <v>3500</v>
      </c>
      <c r="AO29" s="2"/>
    </row>
    <row r="30" spans="2:41" ht="25.5" customHeight="1">
      <c r="B30" s="53" t="s">
        <v>370</v>
      </c>
      <c r="C30" s="15" t="s">
        <v>313</v>
      </c>
      <c r="D30" s="15" t="s">
        <v>371</v>
      </c>
      <c r="E30" s="15">
        <v>5000</v>
      </c>
      <c r="F30" s="16">
        <v>4000</v>
      </c>
      <c r="G30" s="15" t="s">
        <v>372</v>
      </c>
      <c r="H30" s="15" t="s">
        <v>373</v>
      </c>
      <c r="I30" s="15">
        <v>500</v>
      </c>
      <c r="J30" s="16" t="s">
        <v>177</v>
      </c>
      <c r="K30" s="16">
        <v>25</v>
      </c>
      <c r="L30" s="15" t="s">
        <v>374</v>
      </c>
      <c r="M30" s="16">
        <v>19</v>
      </c>
      <c r="N30" s="16" t="s">
        <v>375</v>
      </c>
      <c r="O30" s="16">
        <v>4</v>
      </c>
      <c r="P30" s="16">
        <v>10</v>
      </c>
      <c r="Q30" s="16">
        <v>32000</v>
      </c>
      <c r="R30" s="16">
        <v>18200</v>
      </c>
      <c r="S30" s="16">
        <v>420</v>
      </c>
      <c r="T30" s="15">
        <v>60</v>
      </c>
      <c r="U30" s="16">
        <v>35</v>
      </c>
      <c r="V30" s="16" t="s">
        <v>53</v>
      </c>
      <c r="W30" s="15">
        <v>30</v>
      </c>
      <c r="X30" s="16" t="s">
        <v>328</v>
      </c>
      <c r="Y30" s="15">
        <v>2300</v>
      </c>
      <c r="Z30" s="16" t="s">
        <v>247</v>
      </c>
      <c r="AA30" s="15">
        <v>120</v>
      </c>
      <c r="AB30" s="16">
        <v>288</v>
      </c>
      <c r="AC30" s="16">
        <v>180</v>
      </c>
      <c r="AD30" s="15">
        <v>180</v>
      </c>
      <c r="AE30" s="16" t="s">
        <v>376</v>
      </c>
      <c r="AF30" s="15">
        <v>60</v>
      </c>
      <c r="AG30" s="15">
        <v>120</v>
      </c>
      <c r="AH30" s="16">
        <v>62</v>
      </c>
      <c r="AI30" s="15">
        <v>65</v>
      </c>
      <c r="AJ30" s="16" t="s">
        <v>377</v>
      </c>
      <c r="AK30" s="16" t="s">
        <v>291</v>
      </c>
      <c r="AL30" s="16" t="s">
        <v>163</v>
      </c>
      <c r="AM30" s="16">
        <v>180</v>
      </c>
      <c r="AN30" s="26">
        <v>3500</v>
      </c>
      <c r="AO30" s="2"/>
    </row>
    <row r="31" spans="2:41" ht="25.5" customHeight="1">
      <c r="B31" s="53"/>
      <c r="C31" s="15" t="s">
        <v>325</v>
      </c>
      <c r="D31" s="15" t="s">
        <v>378</v>
      </c>
      <c r="E31" s="15">
        <v>5000</v>
      </c>
      <c r="F31" s="16">
        <v>4000</v>
      </c>
      <c r="G31" s="15" t="s">
        <v>372</v>
      </c>
      <c r="H31" s="15" t="s">
        <v>373</v>
      </c>
      <c r="I31" s="15">
        <v>500</v>
      </c>
      <c r="J31" s="16" t="s">
        <v>379</v>
      </c>
      <c r="K31" s="16">
        <v>30</v>
      </c>
      <c r="L31" s="15" t="s">
        <v>380</v>
      </c>
      <c r="M31" s="16">
        <v>24</v>
      </c>
      <c r="N31" s="16">
        <v>12</v>
      </c>
      <c r="O31" s="16">
        <v>13</v>
      </c>
      <c r="P31" s="16">
        <v>34</v>
      </c>
      <c r="Q31" s="16">
        <v>35600</v>
      </c>
      <c r="R31" s="16">
        <v>20500</v>
      </c>
      <c r="S31" s="16">
        <v>450</v>
      </c>
      <c r="T31" s="15">
        <v>70</v>
      </c>
      <c r="U31" s="16">
        <v>35</v>
      </c>
      <c r="V31" s="16" t="s">
        <v>53</v>
      </c>
      <c r="W31" s="15">
        <v>30</v>
      </c>
      <c r="X31" s="16" t="s">
        <v>320</v>
      </c>
      <c r="Y31" s="15">
        <v>2400</v>
      </c>
      <c r="Z31" s="16" t="s">
        <v>297</v>
      </c>
      <c r="AA31" s="15">
        <v>120</v>
      </c>
      <c r="AB31" s="16">
        <v>390</v>
      </c>
      <c r="AC31" s="16">
        <v>250</v>
      </c>
      <c r="AD31" s="15">
        <v>250</v>
      </c>
      <c r="AE31" s="16" t="s">
        <v>381</v>
      </c>
      <c r="AF31" s="15">
        <v>74</v>
      </c>
      <c r="AG31" s="15">
        <v>135</v>
      </c>
      <c r="AH31" s="16">
        <v>64</v>
      </c>
      <c r="AI31" s="15">
        <v>72</v>
      </c>
      <c r="AJ31" s="16" t="s">
        <v>382</v>
      </c>
      <c r="AK31" s="16" t="s">
        <v>383</v>
      </c>
      <c r="AL31" s="16" t="s">
        <v>369</v>
      </c>
      <c r="AM31" s="16">
        <v>160</v>
      </c>
      <c r="AN31" s="26">
        <v>3700</v>
      </c>
      <c r="AO31" s="2"/>
    </row>
    <row r="32" spans="2:41" ht="25.5" customHeight="1">
      <c r="B32" s="53"/>
      <c r="C32" s="15" t="s">
        <v>384</v>
      </c>
      <c r="D32" s="15" t="s">
        <v>385</v>
      </c>
      <c r="E32" s="15">
        <v>5000</v>
      </c>
      <c r="F32" s="16">
        <v>4000</v>
      </c>
      <c r="G32" s="15" t="s">
        <v>372</v>
      </c>
      <c r="H32" s="15" t="s">
        <v>373</v>
      </c>
      <c r="I32" s="15">
        <v>500</v>
      </c>
      <c r="J32" s="16" t="s">
        <v>386</v>
      </c>
      <c r="K32" s="16">
        <v>34</v>
      </c>
      <c r="L32" s="15" t="s">
        <v>220</v>
      </c>
      <c r="M32" s="16">
        <v>28</v>
      </c>
      <c r="N32" s="16">
        <v>15</v>
      </c>
      <c r="O32" s="16">
        <v>15</v>
      </c>
      <c r="P32" s="16">
        <v>38</v>
      </c>
      <c r="Q32" s="16">
        <v>39400</v>
      </c>
      <c r="R32" s="16">
        <v>22100</v>
      </c>
      <c r="S32" s="16">
        <v>460</v>
      </c>
      <c r="T32" s="15">
        <v>80</v>
      </c>
      <c r="U32" s="16">
        <v>35</v>
      </c>
      <c r="V32" s="16" t="s">
        <v>53</v>
      </c>
      <c r="W32" s="15">
        <v>30</v>
      </c>
      <c r="X32" s="16" t="s">
        <v>285</v>
      </c>
      <c r="Y32" s="15">
        <v>2500</v>
      </c>
      <c r="Z32" s="16" t="s">
        <v>387</v>
      </c>
      <c r="AA32" s="15">
        <v>120</v>
      </c>
      <c r="AB32" s="16">
        <v>442</v>
      </c>
      <c r="AC32" s="16">
        <v>285</v>
      </c>
      <c r="AD32" s="15">
        <v>285</v>
      </c>
      <c r="AE32" s="16" t="s">
        <v>388</v>
      </c>
      <c r="AF32" s="15">
        <v>80</v>
      </c>
      <c r="AG32" s="15">
        <v>150</v>
      </c>
      <c r="AH32" s="16">
        <v>65</v>
      </c>
      <c r="AI32" s="15">
        <v>81</v>
      </c>
      <c r="AJ32" s="16" t="s">
        <v>389</v>
      </c>
      <c r="AK32" s="16" t="s">
        <v>167</v>
      </c>
      <c r="AL32" s="16" t="s">
        <v>376</v>
      </c>
      <c r="AM32" s="16">
        <v>150</v>
      </c>
      <c r="AN32" s="26">
        <v>3900</v>
      </c>
      <c r="AO32" s="2"/>
    </row>
    <row r="33" spans="2:69" ht="30" customHeight="1">
      <c r="B33" s="53" t="s">
        <v>390</v>
      </c>
      <c r="C33" s="10" t="s">
        <v>391</v>
      </c>
      <c r="D33" s="20" t="s">
        <v>392</v>
      </c>
      <c r="E33" s="10">
        <v>500</v>
      </c>
      <c r="F33" s="10">
        <v>400</v>
      </c>
      <c r="G33" s="20" t="s">
        <v>393</v>
      </c>
      <c r="H33" s="10" t="s">
        <v>394</v>
      </c>
      <c r="I33" s="10">
        <v>200</v>
      </c>
      <c r="J33" s="10">
        <v>5</v>
      </c>
      <c r="K33" s="10">
        <v>50</v>
      </c>
      <c r="L33" s="10">
        <v>4</v>
      </c>
      <c r="M33" s="10">
        <v>40</v>
      </c>
      <c r="N33" s="10">
        <v>20</v>
      </c>
      <c r="O33" s="10" t="s">
        <v>395</v>
      </c>
      <c r="P33" s="10" t="s">
        <v>396</v>
      </c>
      <c r="Q33" s="10">
        <v>25000</v>
      </c>
      <c r="R33" s="10">
        <v>12000</v>
      </c>
      <c r="S33" s="10">
        <v>450</v>
      </c>
      <c r="T33" s="10">
        <v>35</v>
      </c>
      <c r="U33" s="10">
        <v>25</v>
      </c>
      <c r="V33" s="20" t="s">
        <v>397</v>
      </c>
      <c r="W33" s="10">
        <v>25</v>
      </c>
      <c r="X33" s="10">
        <v>7</v>
      </c>
      <c r="Y33" s="10">
        <v>2200</v>
      </c>
      <c r="Z33" s="10">
        <v>2</v>
      </c>
      <c r="AA33" s="10">
        <v>150</v>
      </c>
      <c r="AB33" s="10">
        <v>90</v>
      </c>
      <c r="AC33" s="10">
        <v>42</v>
      </c>
      <c r="AD33" s="10">
        <v>47</v>
      </c>
      <c r="AE33" s="10">
        <v>4</v>
      </c>
      <c r="AF33" s="10">
        <v>82</v>
      </c>
      <c r="AG33" s="10">
        <v>35</v>
      </c>
      <c r="AH33" s="10">
        <v>47</v>
      </c>
      <c r="AI33" s="10">
        <v>80</v>
      </c>
      <c r="AJ33" s="10">
        <v>20</v>
      </c>
      <c r="AK33" s="10">
        <v>30</v>
      </c>
      <c r="AL33" s="10" t="s">
        <v>163</v>
      </c>
      <c r="AM33" s="10">
        <v>450</v>
      </c>
      <c r="AN33" s="13">
        <v>2200</v>
      </c>
      <c r="AO33" s="2"/>
    </row>
    <row r="34" spans="2:69" ht="30" customHeight="1">
      <c r="B34" s="53"/>
      <c r="C34" s="10" t="s">
        <v>398</v>
      </c>
      <c r="D34" s="20" t="s">
        <v>392</v>
      </c>
      <c r="E34" s="10">
        <v>500</v>
      </c>
      <c r="F34" s="10">
        <v>400</v>
      </c>
      <c r="G34" s="20" t="s">
        <v>393</v>
      </c>
      <c r="H34" s="10" t="s">
        <v>394</v>
      </c>
      <c r="I34" s="10">
        <v>200</v>
      </c>
      <c r="J34" s="10">
        <v>5</v>
      </c>
      <c r="K34" s="10">
        <v>50</v>
      </c>
      <c r="L34" s="10">
        <v>4</v>
      </c>
      <c r="M34" s="10">
        <v>40</v>
      </c>
      <c r="N34" s="10">
        <v>20</v>
      </c>
      <c r="O34" s="10" t="s">
        <v>395</v>
      </c>
      <c r="P34" s="10" t="s">
        <v>396</v>
      </c>
      <c r="Q34" s="10">
        <v>25000</v>
      </c>
      <c r="R34" s="10">
        <v>12000</v>
      </c>
      <c r="S34" s="10">
        <v>480</v>
      </c>
      <c r="T34" s="10">
        <v>36</v>
      </c>
      <c r="U34" s="10">
        <v>35</v>
      </c>
      <c r="V34" s="20" t="s">
        <v>53</v>
      </c>
      <c r="W34" s="10">
        <v>25</v>
      </c>
      <c r="X34" s="10" t="s">
        <v>159</v>
      </c>
      <c r="Y34" s="10">
        <v>2300</v>
      </c>
      <c r="Z34" s="10">
        <v>2</v>
      </c>
      <c r="AA34" s="10">
        <v>150</v>
      </c>
      <c r="AB34" s="10">
        <v>110</v>
      </c>
      <c r="AC34" s="10">
        <v>65</v>
      </c>
      <c r="AD34" s="10">
        <v>60</v>
      </c>
      <c r="AE34" s="10" t="s">
        <v>235</v>
      </c>
      <c r="AF34" s="10">
        <v>89</v>
      </c>
      <c r="AG34" s="10">
        <v>36</v>
      </c>
      <c r="AH34" s="10">
        <v>65</v>
      </c>
      <c r="AI34" s="10">
        <v>88</v>
      </c>
      <c r="AJ34" s="10">
        <v>28</v>
      </c>
      <c r="AK34" s="10">
        <v>25</v>
      </c>
      <c r="AL34" s="10" t="s">
        <v>376</v>
      </c>
      <c r="AM34" s="10">
        <v>480</v>
      </c>
      <c r="AN34" s="13">
        <v>2300</v>
      </c>
      <c r="AO34" s="2"/>
    </row>
    <row r="35" spans="2:69" ht="30" customHeight="1">
      <c r="B35" s="53"/>
      <c r="C35" s="10" t="s">
        <v>399</v>
      </c>
      <c r="D35" s="20" t="s">
        <v>392</v>
      </c>
      <c r="E35" s="10">
        <v>500</v>
      </c>
      <c r="F35" s="10">
        <v>400</v>
      </c>
      <c r="G35" s="20" t="s">
        <v>393</v>
      </c>
      <c r="H35" s="10" t="s">
        <v>394</v>
      </c>
      <c r="I35" s="10">
        <v>200</v>
      </c>
      <c r="J35" s="10">
        <v>5</v>
      </c>
      <c r="K35" s="10">
        <v>50</v>
      </c>
      <c r="L35" s="10">
        <v>4</v>
      </c>
      <c r="M35" s="10">
        <v>40</v>
      </c>
      <c r="N35" s="10">
        <v>20</v>
      </c>
      <c r="O35" s="10" t="s">
        <v>395</v>
      </c>
      <c r="P35" s="10" t="s">
        <v>396</v>
      </c>
      <c r="Q35" s="10">
        <v>25000</v>
      </c>
      <c r="R35" s="10">
        <v>12000</v>
      </c>
      <c r="S35" s="10">
        <v>500</v>
      </c>
      <c r="T35" s="10">
        <v>37</v>
      </c>
      <c r="U35" s="10">
        <v>49</v>
      </c>
      <c r="V35" s="20" t="s">
        <v>210</v>
      </c>
      <c r="W35" s="10">
        <v>25</v>
      </c>
      <c r="X35" s="10" t="s">
        <v>159</v>
      </c>
      <c r="Y35" s="10">
        <v>2400</v>
      </c>
      <c r="Z35" s="10">
        <v>2</v>
      </c>
      <c r="AA35" s="10">
        <v>150</v>
      </c>
      <c r="AB35" s="10">
        <v>141</v>
      </c>
      <c r="AC35" s="10">
        <v>67</v>
      </c>
      <c r="AD35" s="10">
        <v>67</v>
      </c>
      <c r="AE35" s="10" t="s">
        <v>400</v>
      </c>
      <c r="AF35" s="10">
        <v>91</v>
      </c>
      <c r="AG35" s="10">
        <v>37</v>
      </c>
      <c r="AH35" s="10">
        <v>67</v>
      </c>
      <c r="AI35" s="10">
        <v>90</v>
      </c>
      <c r="AJ35" s="10">
        <v>60</v>
      </c>
      <c r="AK35" s="10">
        <v>22</v>
      </c>
      <c r="AL35" s="10" t="s">
        <v>324</v>
      </c>
      <c r="AM35" s="10">
        <v>500</v>
      </c>
      <c r="AN35" s="13">
        <v>2400</v>
      </c>
      <c r="AO35" s="2"/>
    </row>
    <row r="36" spans="2:69" ht="15" customHeight="1">
      <c r="B36" s="53" t="s">
        <v>401</v>
      </c>
      <c r="C36" s="10" t="s">
        <v>402</v>
      </c>
      <c r="D36" s="10" t="s">
        <v>403</v>
      </c>
      <c r="E36" s="10">
        <v>2000</v>
      </c>
      <c r="F36" s="10">
        <v>1950</v>
      </c>
      <c r="G36" s="10" t="s">
        <v>404</v>
      </c>
      <c r="H36" s="10" t="s">
        <v>405</v>
      </c>
      <c r="I36" s="10">
        <v>50</v>
      </c>
      <c r="J36" s="10" t="s">
        <v>406</v>
      </c>
      <c r="K36" s="10" t="s">
        <v>407</v>
      </c>
      <c r="L36" s="10" t="s">
        <v>408</v>
      </c>
      <c r="M36" s="10" t="s">
        <v>409</v>
      </c>
      <c r="N36" s="10" t="s">
        <v>410</v>
      </c>
      <c r="O36" s="10">
        <v>17</v>
      </c>
      <c r="P36" s="10">
        <v>43</v>
      </c>
      <c r="Q36" s="10">
        <v>25000</v>
      </c>
      <c r="R36" s="10">
        <v>12000</v>
      </c>
      <c r="S36" s="10">
        <v>500</v>
      </c>
      <c r="T36" s="10">
        <v>40</v>
      </c>
      <c r="U36" s="10">
        <v>20</v>
      </c>
      <c r="V36" s="20" t="s">
        <v>397</v>
      </c>
      <c r="W36" s="10">
        <v>11</v>
      </c>
      <c r="X36" s="10">
        <v>7</v>
      </c>
      <c r="Y36" s="10">
        <v>2300</v>
      </c>
      <c r="Z36" s="10">
        <v>2</v>
      </c>
      <c r="AA36" s="10">
        <v>0</v>
      </c>
      <c r="AB36" s="10">
        <v>70</v>
      </c>
      <c r="AC36" s="10">
        <v>45</v>
      </c>
      <c r="AD36" s="10">
        <v>45</v>
      </c>
      <c r="AE36" s="10">
        <v>130</v>
      </c>
      <c r="AF36" s="10">
        <v>20</v>
      </c>
      <c r="AG36" s="10">
        <v>40</v>
      </c>
      <c r="AH36" s="10">
        <v>80</v>
      </c>
      <c r="AI36" s="10">
        <v>75</v>
      </c>
      <c r="AJ36" s="10">
        <v>130</v>
      </c>
      <c r="AK36" s="10">
        <v>6</v>
      </c>
      <c r="AL36" s="10" t="s">
        <v>267</v>
      </c>
      <c r="AM36" s="10">
        <v>400</v>
      </c>
      <c r="AN36" s="13">
        <v>2300</v>
      </c>
      <c r="AO36" s="2"/>
    </row>
    <row r="37" spans="2:69">
      <c r="B37" s="53"/>
      <c r="C37" s="10" t="s">
        <v>411</v>
      </c>
      <c r="D37" s="10" t="s">
        <v>403</v>
      </c>
      <c r="E37" s="10">
        <v>2000</v>
      </c>
      <c r="F37" s="10">
        <v>1950</v>
      </c>
      <c r="G37" s="10" t="s">
        <v>404</v>
      </c>
      <c r="H37" s="10" t="s">
        <v>405</v>
      </c>
      <c r="I37" s="10">
        <v>50</v>
      </c>
      <c r="J37" s="10" t="s">
        <v>412</v>
      </c>
      <c r="K37" s="10" t="s">
        <v>407</v>
      </c>
      <c r="L37" s="10" t="s">
        <v>408</v>
      </c>
      <c r="M37" s="10" t="s">
        <v>409</v>
      </c>
      <c r="N37" s="10" t="s">
        <v>410</v>
      </c>
      <c r="O37" s="10">
        <v>17</v>
      </c>
      <c r="P37" s="10">
        <v>43</v>
      </c>
      <c r="Q37" s="10">
        <v>25000</v>
      </c>
      <c r="R37" s="10">
        <v>12000</v>
      </c>
      <c r="S37" s="10">
        <v>500</v>
      </c>
      <c r="T37" s="10">
        <v>40</v>
      </c>
      <c r="U37" s="10">
        <v>25</v>
      </c>
      <c r="V37" s="16" t="s">
        <v>53</v>
      </c>
      <c r="W37" s="10">
        <v>11</v>
      </c>
      <c r="X37" s="10">
        <v>7</v>
      </c>
      <c r="Y37" s="10">
        <v>2300</v>
      </c>
      <c r="Z37" s="10">
        <v>2</v>
      </c>
      <c r="AA37" s="10">
        <v>0</v>
      </c>
      <c r="AB37" s="10">
        <v>85</v>
      </c>
      <c r="AC37" s="10">
        <v>65</v>
      </c>
      <c r="AD37" s="10">
        <v>65</v>
      </c>
      <c r="AE37" s="10">
        <v>120</v>
      </c>
      <c r="AF37" s="10">
        <v>26</v>
      </c>
      <c r="AG37" s="10">
        <v>40</v>
      </c>
      <c r="AH37" s="10">
        <v>90</v>
      </c>
      <c r="AI37" s="10">
        <v>85</v>
      </c>
      <c r="AJ37" s="10">
        <v>130</v>
      </c>
      <c r="AK37" s="10">
        <v>5</v>
      </c>
      <c r="AL37" s="10" t="s">
        <v>369</v>
      </c>
      <c r="AM37" s="10">
        <v>350</v>
      </c>
      <c r="AN37" s="13">
        <v>2400</v>
      </c>
      <c r="AO37" s="2"/>
    </row>
    <row r="38" spans="2:69">
      <c r="B38" s="53"/>
      <c r="C38" s="10" t="s">
        <v>413</v>
      </c>
      <c r="D38" s="10" t="s">
        <v>403</v>
      </c>
      <c r="E38" s="10">
        <v>2000</v>
      </c>
      <c r="F38" s="10">
        <v>1950</v>
      </c>
      <c r="G38" s="10" t="s">
        <v>404</v>
      </c>
      <c r="H38" s="10" t="s">
        <v>405</v>
      </c>
      <c r="I38" s="10">
        <v>50</v>
      </c>
      <c r="J38" s="10" t="s">
        <v>414</v>
      </c>
      <c r="K38" s="10" t="s">
        <v>407</v>
      </c>
      <c r="L38" s="10" t="s">
        <v>408</v>
      </c>
      <c r="M38" s="10" t="s">
        <v>409</v>
      </c>
      <c r="N38" s="10" t="s">
        <v>410</v>
      </c>
      <c r="O38" s="10">
        <v>17</v>
      </c>
      <c r="P38" s="10">
        <v>43</v>
      </c>
      <c r="Q38" s="10">
        <v>25000</v>
      </c>
      <c r="R38" s="10">
        <v>12000</v>
      </c>
      <c r="S38" s="10">
        <v>500</v>
      </c>
      <c r="T38" s="10">
        <v>40</v>
      </c>
      <c r="U38" s="10">
        <v>30</v>
      </c>
      <c r="V38" s="16" t="s">
        <v>53</v>
      </c>
      <c r="W38" s="10">
        <v>11</v>
      </c>
      <c r="X38" s="10">
        <v>7</v>
      </c>
      <c r="Y38" s="10">
        <v>2300</v>
      </c>
      <c r="Z38" s="10">
        <v>2</v>
      </c>
      <c r="AA38" s="10">
        <v>0</v>
      </c>
      <c r="AB38" s="10">
        <v>95</v>
      </c>
      <c r="AC38" s="10">
        <v>67</v>
      </c>
      <c r="AD38" s="10">
        <v>67</v>
      </c>
      <c r="AE38" s="10">
        <v>115</v>
      </c>
      <c r="AF38" s="10">
        <v>29</v>
      </c>
      <c r="AG38" s="10">
        <v>40</v>
      </c>
      <c r="AH38" s="10">
        <v>95</v>
      </c>
      <c r="AI38" s="10">
        <v>95</v>
      </c>
      <c r="AJ38" s="10">
        <v>130</v>
      </c>
      <c r="AK38" s="10">
        <v>4</v>
      </c>
      <c r="AL38" s="10" t="s">
        <v>376</v>
      </c>
      <c r="AM38" s="10">
        <v>300</v>
      </c>
      <c r="AN38" s="13">
        <v>2500</v>
      </c>
      <c r="AO38" s="2"/>
    </row>
    <row r="39" spans="2:69" ht="14.25" customHeight="1">
      <c r="B39" s="53" t="s">
        <v>415</v>
      </c>
      <c r="C39" s="10" t="s">
        <v>416</v>
      </c>
      <c r="D39" s="10" t="s">
        <v>417</v>
      </c>
      <c r="E39" s="10">
        <v>7000</v>
      </c>
      <c r="F39" s="10">
        <v>5000</v>
      </c>
      <c r="G39" s="20" t="s">
        <v>418</v>
      </c>
      <c r="H39" s="10" t="s">
        <v>419</v>
      </c>
      <c r="I39" s="10">
        <v>2000</v>
      </c>
      <c r="J39" s="10">
        <v>14</v>
      </c>
      <c r="K39" s="10">
        <v>140</v>
      </c>
      <c r="L39" s="10">
        <v>80</v>
      </c>
      <c r="M39" s="10">
        <v>112</v>
      </c>
      <c r="N39" s="10">
        <v>19</v>
      </c>
      <c r="O39" s="10">
        <v>17</v>
      </c>
      <c r="P39" s="10">
        <v>43</v>
      </c>
      <c r="Q39" s="10">
        <v>325000</v>
      </c>
      <c r="R39" s="10">
        <v>12000</v>
      </c>
      <c r="S39" s="10">
        <v>3300</v>
      </c>
      <c r="T39" s="10">
        <v>35</v>
      </c>
      <c r="U39" s="10">
        <v>30</v>
      </c>
      <c r="V39" s="16" t="s">
        <v>53</v>
      </c>
      <c r="W39" s="10">
        <v>24</v>
      </c>
      <c r="X39" s="10" t="s">
        <v>324</v>
      </c>
      <c r="Y39" s="10">
        <v>2200</v>
      </c>
      <c r="Z39" s="10" t="s">
        <v>420</v>
      </c>
      <c r="AA39" s="10">
        <v>400</v>
      </c>
      <c r="AB39" s="10">
        <v>411</v>
      </c>
      <c r="AC39" s="10">
        <v>284</v>
      </c>
      <c r="AD39" s="10">
        <v>275</v>
      </c>
      <c r="AE39" s="10" t="s">
        <v>340</v>
      </c>
      <c r="AF39" s="10" t="s">
        <v>341</v>
      </c>
      <c r="AG39" s="10">
        <v>40</v>
      </c>
      <c r="AH39" s="10">
        <v>69</v>
      </c>
      <c r="AI39" s="10">
        <v>90</v>
      </c>
      <c r="AJ39" s="10">
        <v>120</v>
      </c>
      <c r="AK39" s="10">
        <v>10</v>
      </c>
      <c r="AL39" s="10" t="s">
        <v>344</v>
      </c>
      <c r="AM39" s="10">
        <v>360</v>
      </c>
      <c r="AN39" s="13">
        <v>2300</v>
      </c>
      <c r="AO39" s="2"/>
    </row>
    <row r="40" spans="2:69">
      <c r="B40" s="54"/>
      <c r="C40" s="10" t="s">
        <v>421</v>
      </c>
      <c r="D40" s="10" t="s">
        <v>417</v>
      </c>
      <c r="E40" s="10">
        <v>7000</v>
      </c>
      <c r="F40" s="10">
        <v>5000</v>
      </c>
      <c r="G40" s="20" t="s">
        <v>418</v>
      </c>
      <c r="H40" s="10" t="s">
        <v>419</v>
      </c>
      <c r="I40" s="10">
        <v>2000</v>
      </c>
      <c r="J40" s="10">
        <v>14</v>
      </c>
      <c r="K40" s="10">
        <v>140</v>
      </c>
      <c r="L40" s="10">
        <v>80</v>
      </c>
      <c r="M40" s="10">
        <v>112</v>
      </c>
      <c r="N40" s="10">
        <v>19</v>
      </c>
      <c r="O40" s="10">
        <v>17</v>
      </c>
      <c r="P40" s="10">
        <v>43</v>
      </c>
      <c r="Q40" s="10">
        <v>325000</v>
      </c>
      <c r="R40" s="10">
        <v>12000</v>
      </c>
      <c r="S40" s="10">
        <v>300</v>
      </c>
      <c r="T40" s="10">
        <v>35</v>
      </c>
      <c r="U40" s="10">
        <v>37</v>
      </c>
      <c r="V40" s="16" t="s">
        <v>53</v>
      </c>
      <c r="W40" s="10">
        <v>20</v>
      </c>
      <c r="X40" s="10" t="s">
        <v>354</v>
      </c>
      <c r="Y40" s="10">
        <v>2300</v>
      </c>
      <c r="Z40" s="10" t="s">
        <v>422</v>
      </c>
      <c r="AA40" s="10">
        <v>400</v>
      </c>
      <c r="AB40" s="10">
        <v>440</v>
      </c>
      <c r="AC40" s="10">
        <v>299</v>
      </c>
      <c r="AD40" s="10">
        <v>293</v>
      </c>
      <c r="AE40" s="10" t="s">
        <v>349</v>
      </c>
      <c r="AF40" s="10" t="s">
        <v>350</v>
      </c>
      <c r="AG40" s="10">
        <v>40</v>
      </c>
      <c r="AH40" s="10">
        <v>68</v>
      </c>
      <c r="AI40" s="10">
        <v>75</v>
      </c>
      <c r="AJ40" s="10">
        <v>125</v>
      </c>
      <c r="AK40" s="10">
        <v>9</v>
      </c>
      <c r="AL40" s="10" t="s">
        <v>331</v>
      </c>
      <c r="AM40" s="10">
        <v>741</v>
      </c>
      <c r="AN40" s="13">
        <v>2300</v>
      </c>
      <c r="AO40" s="2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</row>
    <row r="41" spans="2:69">
      <c r="B41" s="54"/>
      <c r="C41" s="10" t="s">
        <v>423</v>
      </c>
      <c r="D41" s="10" t="s">
        <v>417</v>
      </c>
      <c r="E41" s="10">
        <v>7000</v>
      </c>
      <c r="F41" s="10">
        <v>5000</v>
      </c>
      <c r="G41" s="20" t="s">
        <v>418</v>
      </c>
      <c r="H41" s="10" t="s">
        <v>419</v>
      </c>
      <c r="I41" s="10">
        <v>2000</v>
      </c>
      <c r="J41" s="10">
        <v>14</v>
      </c>
      <c r="K41" s="10">
        <v>140</v>
      </c>
      <c r="L41" s="10">
        <v>80</v>
      </c>
      <c r="M41" s="10">
        <v>112</v>
      </c>
      <c r="N41" s="10">
        <v>19</v>
      </c>
      <c r="O41" s="10">
        <v>17</v>
      </c>
      <c r="P41" s="10">
        <v>43</v>
      </c>
      <c r="Q41" s="10">
        <v>325000</v>
      </c>
      <c r="R41" s="10">
        <v>12000</v>
      </c>
      <c r="S41" s="10">
        <v>144</v>
      </c>
      <c r="T41" s="10">
        <v>35</v>
      </c>
      <c r="U41" s="10">
        <v>37</v>
      </c>
      <c r="V41" s="16" t="s">
        <v>53</v>
      </c>
      <c r="W41" s="10">
        <v>17</v>
      </c>
      <c r="X41" s="10" t="s">
        <v>354</v>
      </c>
      <c r="Y41" s="10">
        <v>2300</v>
      </c>
      <c r="Z41" s="10" t="s">
        <v>424</v>
      </c>
      <c r="AA41" s="10">
        <v>0</v>
      </c>
      <c r="AB41" s="10">
        <v>596</v>
      </c>
      <c r="AC41" s="10">
        <v>399</v>
      </c>
      <c r="AD41" s="10">
        <v>393</v>
      </c>
      <c r="AE41" s="10" t="s">
        <v>425</v>
      </c>
      <c r="AF41" s="10" t="s">
        <v>358</v>
      </c>
      <c r="AG41" s="10">
        <v>40</v>
      </c>
      <c r="AH41" s="10">
        <v>67</v>
      </c>
      <c r="AI41" s="10">
        <v>95</v>
      </c>
      <c r="AJ41" s="10">
        <v>130</v>
      </c>
      <c r="AK41" s="10">
        <v>8</v>
      </c>
      <c r="AL41" s="10" t="s">
        <v>360</v>
      </c>
      <c r="AM41" s="10">
        <v>360</v>
      </c>
      <c r="AN41" s="13">
        <v>2300</v>
      </c>
      <c r="AO41" s="2"/>
    </row>
    <row r="42" spans="2:69">
      <c r="B42" s="54"/>
      <c r="C42" s="10" t="s">
        <v>426</v>
      </c>
      <c r="D42" s="10" t="s">
        <v>417</v>
      </c>
      <c r="E42" s="10">
        <v>7000</v>
      </c>
      <c r="F42" s="10">
        <v>5000</v>
      </c>
      <c r="G42" s="20" t="s">
        <v>418</v>
      </c>
      <c r="H42" s="10" t="s">
        <v>419</v>
      </c>
      <c r="I42" s="10">
        <v>2003</v>
      </c>
      <c r="J42" s="10">
        <v>14</v>
      </c>
      <c r="K42" s="10">
        <v>140</v>
      </c>
      <c r="L42" s="10">
        <v>80</v>
      </c>
      <c r="M42" s="10">
        <v>112</v>
      </c>
      <c r="N42" s="10">
        <v>19</v>
      </c>
      <c r="O42" s="10">
        <v>17</v>
      </c>
      <c r="P42" s="10">
        <v>43</v>
      </c>
      <c r="Q42" s="10">
        <v>325000</v>
      </c>
      <c r="R42" s="10">
        <v>12000</v>
      </c>
      <c r="S42" s="10">
        <v>288</v>
      </c>
      <c r="T42" s="10">
        <v>35</v>
      </c>
      <c r="U42" s="10">
        <v>30</v>
      </c>
      <c r="V42" s="16" t="s">
        <v>53</v>
      </c>
      <c r="W42" s="10">
        <v>20</v>
      </c>
      <c r="X42" s="10" t="s">
        <v>331</v>
      </c>
      <c r="Y42" s="10">
        <v>2200</v>
      </c>
      <c r="Z42" s="10" t="s">
        <v>363</v>
      </c>
      <c r="AA42" s="10">
        <v>0</v>
      </c>
      <c r="AB42" s="10">
        <v>340</v>
      </c>
      <c r="AC42" s="10">
        <v>218</v>
      </c>
      <c r="AD42" s="10">
        <v>204</v>
      </c>
      <c r="AE42" s="10" t="s">
        <v>365</v>
      </c>
      <c r="AF42" s="10" t="s">
        <v>366</v>
      </c>
      <c r="AG42" s="10">
        <v>40</v>
      </c>
      <c r="AH42" s="10">
        <v>64</v>
      </c>
      <c r="AI42" s="10">
        <v>60</v>
      </c>
      <c r="AJ42" s="10">
        <v>110</v>
      </c>
      <c r="AK42" s="10">
        <v>10</v>
      </c>
      <c r="AL42" s="10" t="s">
        <v>369</v>
      </c>
      <c r="AM42" s="10">
        <v>744</v>
      </c>
      <c r="AN42" s="13">
        <v>2200</v>
      </c>
      <c r="AO42" s="2"/>
    </row>
    <row r="43" spans="2:69" ht="17.25" customHeight="1">
      <c r="B43" s="55" t="s">
        <v>427</v>
      </c>
      <c r="C43" s="10" t="s">
        <v>428</v>
      </c>
      <c r="D43" s="10" t="s">
        <v>429</v>
      </c>
      <c r="E43" s="10">
        <v>500</v>
      </c>
      <c r="F43" s="10">
        <v>425</v>
      </c>
      <c r="G43" s="10" t="s">
        <v>253</v>
      </c>
      <c r="H43" s="10" t="s">
        <v>430</v>
      </c>
      <c r="I43" s="10">
        <v>250</v>
      </c>
      <c r="J43" s="10" t="s">
        <v>285</v>
      </c>
      <c r="K43" s="10">
        <v>70</v>
      </c>
      <c r="L43" s="10" t="s">
        <v>303</v>
      </c>
      <c r="M43" s="10">
        <v>60</v>
      </c>
      <c r="N43" s="10" t="s">
        <v>431</v>
      </c>
      <c r="O43" s="10" t="s">
        <v>432</v>
      </c>
      <c r="P43" s="10" t="s">
        <v>433</v>
      </c>
      <c r="Q43" s="10">
        <v>90000</v>
      </c>
      <c r="R43" s="10">
        <v>45000</v>
      </c>
      <c r="S43" s="10">
        <v>200</v>
      </c>
      <c r="T43" s="10">
        <v>80</v>
      </c>
      <c r="U43" s="10">
        <v>37</v>
      </c>
      <c r="V43" s="16" t="s">
        <v>53</v>
      </c>
      <c r="W43" s="10">
        <v>30</v>
      </c>
      <c r="X43" s="10" t="s">
        <v>305</v>
      </c>
      <c r="Y43" s="10" t="s">
        <v>177</v>
      </c>
      <c r="Z43" s="10" t="s">
        <v>301</v>
      </c>
      <c r="AA43" s="10">
        <v>90</v>
      </c>
      <c r="AB43" s="10">
        <v>405</v>
      </c>
      <c r="AC43" s="10">
        <v>264</v>
      </c>
      <c r="AD43" s="10">
        <v>264</v>
      </c>
      <c r="AE43" s="10">
        <v>45</v>
      </c>
      <c r="AF43" s="10">
        <v>25</v>
      </c>
      <c r="AG43" s="10">
        <v>100</v>
      </c>
      <c r="AH43" s="10">
        <v>58</v>
      </c>
      <c r="AI43" s="10">
        <v>60</v>
      </c>
      <c r="AJ43" s="10" t="s">
        <v>434</v>
      </c>
      <c r="AK43" s="10">
        <v>11</v>
      </c>
      <c r="AL43" s="10" t="s">
        <v>324</v>
      </c>
      <c r="AM43" s="10">
        <v>550</v>
      </c>
      <c r="AN43" s="13">
        <v>3200</v>
      </c>
      <c r="AO43" s="2"/>
    </row>
    <row r="44" spans="2:69">
      <c r="B44" s="55"/>
      <c r="C44" s="10" t="s">
        <v>435</v>
      </c>
      <c r="D44" s="10" t="s">
        <v>436</v>
      </c>
      <c r="E44" s="10">
        <v>500</v>
      </c>
      <c r="F44" s="10">
        <v>425</v>
      </c>
      <c r="G44" s="10" t="s">
        <v>253</v>
      </c>
      <c r="H44" s="10" t="s">
        <v>430</v>
      </c>
      <c r="I44" s="10">
        <v>250</v>
      </c>
      <c r="J44" s="10" t="s">
        <v>285</v>
      </c>
      <c r="K44" s="10">
        <v>70</v>
      </c>
      <c r="L44" s="10" t="s">
        <v>303</v>
      </c>
      <c r="M44" s="10">
        <v>60</v>
      </c>
      <c r="N44" s="10" t="s">
        <v>431</v>
      </c>
      <c r="O44" s="10" t="s">
        <v>432</v>
      </c>
      <c r="P44" s="10" t="s">
        <v>433</v>
      </c>
      <c r="Q44" s="10">
        <v>90000</v>
      </c>
      <c r="R44" s="10">
        <v>45000</v>
      </c>
      <c r="S44" s="10">
        <v>200</v>
      </c>
      <c r="T44" s="10">
        <v>80</v>
      </c>
      <c r="U44" s="10">
        <v>37</v>
      </c>
      <c r="V44" s="16" t="s">
        <v>53</v>
      </c>
      <c r="W44" s="10">
        <v>30</v>
      </c>
      <c r="X44" s="10" t="s">
        <v>305</v>
      </c>
      <c r="Y44" s="10" t="s">
        <v>177</v>
      </c>
      <c r="Z44" s="10" t="s">
        <v>301</v>
      </c>
      <c r="AA44" s="10">
        <v>90</v>
      </c>
      <c r="AB44" s="10">
        <v>430</v>
      </c>
      <c r="AC44" s="10">
        <v>280</v>
      </c>
      <c r="AD44" s="10">
        <v>280</v>
      </c>
      <c r="AE44" s="10">
        <v>45</v>
      </c>
      <c r="AF44" s="10">
        <v>25</v>
      </c>
      <c r="AG44" s="10">
        <v>100</v>
      </c>
      <c r="AH44" s="10">
        <v>59</v>
      </c>
      <c r="AI44" s="10">
        <v>63</v>
      </c>
      <c r="AJ44" s="10" t="s">
        <v>437</v>
      </c>
      <c r="AK44" s="10">
        <v>11</v>
      </c>
      <c r="AL44" s="10" t="s">
        <v>324</v>
      </c>
      <c r="AM44" s="10">
        <v>550</v>
      </c>
      <c r="AN44" s="13">
        <v>3200</v>
      </c>
      <c r="AO44" s="2"/>
    </row>
    <row r="45" spans="2:69">
      <c r="B45" s="55"/>
      <c r="C45" s="10" t="s">
        <v>438</v>
      </c>
      <c r="D45" s="10" t="s">
        <v>439</v>
      </c>
      <c r="E45" s="10">
        <v>500</v>
      </c>
      <c r="F45" s="10">
        <v>425</v>
      </c>
      <c r="G45" s="10" t="s">
        <v>253</v>
      </c>
      <c r="H45" s="10" t="s">
        <v>430</v>
      </c>
      <c r="I45" s="10">
        <v>250</v>
      </c>
      <c r="J45" s="10" t="s">
        <v>285</v>
      </c>
      <c r="K45" s="10">
        <v>70</v>
      </c>
      <c r="L45" s="10" t="s">
        <v>303</v>
      </c>
      <c r="M45" s="10">
        <v>60</v>
      </c>
      <c r="N45" s="10" t="s">
        <v>431</v>
      </c>
      <c r="O45" s="10" t="s">
        <v>432</v>
      </c>
      <c r="P45" s="10" t="s">
        <v>433</v>
      </c>
      <c r="Q45" s="10">
        <v>90000</v>
      </c>
      <c r="R45" s="10">
        <v>45000</v>
      </c>
      <c r="S45" s="10">
        <v>200</v>
      </c>
      <c r="T45" s="10">
        <v>80</v>
      </c>
      <c r="U45" s="10">
        <v>37</v>
      </c>
      <c r="V45" s="16" t="s">
        <v>53</v>
      </c>
      <c r="W45" s="10">
        <v>30</v>
      </c>
      <c r="X45" s="10" t="s">
        <v>305</v>
      </c>
      <c r="Y45" s="10" t="s">
        <v>177</v>
      </c>
      <c r="Z45" s="10" t="s">
        <v>301</v>
      </c>
      <c r="AA45" s="10">
        <v>90</v>
      </c>
      <c r="AB45" s="10">
        <v>500</v>
      </c>
      <c r="AC45" s="10">
        <v>325</v>
      </c>
      <c r="AD45" s="10">
        <v>325</v>
      </c>
      <c r="AE45" s="10">
        <v>44</v>
      </c>
      <c r="AF45" s="10">
        <v>27</v>
      </c>
      <c r="AG45" s="10">
        <v>105</v>
      </c>
      <c r="AH45" s="10">
        <v>63</v>
      </c>
      <c r="AI45" s="10">
        <v>67</v>
      </c>
      <c r="AJ45" s="10" t="s">
        <v>155</v>
      </c>
      <c r="AK45" s="10">
        <v>10</v>
      </c>
      <c r="AL45" s="10" t="s">
        <v>222</v>
      </c>
      <c r="AM45" s="10">
        <v>540</v>
      </c>
      <c r="AN45" s="13">
        <v>3300</v>
      </c>
      <c r="AO45" s="2"/>
    </row>
    <row r="46" spans="2:69">
      <c r="B46" s="55"/>
      <c r="C46" s="10" t="s">
        <v>440</v>
      </c>
      <c r="D46" s="10" t="s">
        <v>441</v>
      </c>
      <c r="E46" s="10">
        <v>500</v>
      </c>
      <c r="F46" s="10">
        <v>425</v>
      </c>
      <c r="G46" s="10" t="s">
        <v>253</v>
      </c>
      <c r="H46" s="10" t="s">
        <v>430</v>
      </c>
      <c r="I46" s="10">
        <v>250</v>
      </c>
      <c r="J46" s="10" t="s">
        <v>285</v>
      </c>
      <c r="K46" s="10">
        <v>70</v>
      </c>
      <c r="L46" s="10" t="s">
        <v>303</v>
      </c>
      <c r="M46" s="10">
        <v>60</v>
      </c>
      <c r="N46" s="10" t="s">
        <v>431</v>
      </c>
      <c r="O46" s="10" t="s">
        <v>432</v>
      </c>
      <c r="P46" s="10" t="s">
        <v>433</v>
      </c>
      <c r="Q46" s="10">
        <v>90000</v>
      </c>
      <c r="R46" s="10">
        <v>45000</v>
      </c>
      <c r="S46" s="10">
        <v>200</v>
      </c>
      <c r="T46" s="10">
        <v>80</v>
      </c>
      <c r="U46" s="10">
        <v>37</v>
      </c>
      <c r="V46" s="16" t="s">
        <v>53</v>
      </c>
      <c r="W46" s="10">
        <v>30</v>
      </c>
      <c r="X46" s="10" t="s">
        <v>305</v>
      </c>
      <c r="Y46" s="10" t="s">
        <v>177</v>
      </c>
      <c r="Z46" s="10" t="s">
        <v>301</v>
      </c>
      <c r="AA46" s="10">
        <v>90</v>
      </c>
      <c r="AB46" s="10">
        <v>485</v>
      </c>
      <c r="AC46" s="10">
        <v>315</v>
      </c>
      <c r="AD46" s="10">
        <v>315</v>
      </c>
      <c r="AE46" s="10">
        <v>44</v>
      </c>
      <c r="AF46" s="10">
        <v>27</v>
      </c>
      <c r="AG46" s="10">
        <v>105</v>
      </c>
      <c r="AH46" s="10">
        <v>62</v>
      </c>
      <c r="AI46" s="10">
        <v>66</v>
      </c>
      <c r="AJ46" s="10" t="s">
        <v>442</v>
      </c>
      <c r="AK46" s="10">
        <v>10</v>
      </c>
      <c r="AL46" s="10" t="s">
        <v>222</v>
      </c>
      <c r="AM46" s="10">
        <v>540</v>
      </c>
      <c r="AN46" s="13">
        <v>3300</v>
      </c>
      <c r="AO46" s="2"/>
    </row>
    <row r="47" spans="2:69">
      <c r="B47" s="55"/>
      <c r="C47" s="10" t="s">
        <v>443</v>
      </c>
      <c r="D47" s="10" t="s">
        <v>444</v>
      </c>
      <c r="E47" s="10">
        <v>500</v>
      </c>
      <c r="F47" s="10">
        <v>425</v>
      </c>
      <c r="G47" s="10" t="s">
        <v>253</v>
      </c>
      <c r="H47" s="10" t="s">
        <v>430</v>
      </c>
      <c r="I47" s="10">
        <v>250</v>
      </c>
      <c r="J47" s="10" t="s">
        <v>285</v>
      </c>
      <c r="K47" s="10">
        <v>70</v>
      </c>
      <c r="L47" s="10" t="s">
        <v>303</v>
      </c>
      <c r="M47" s="10">
        <v>60</v>
      </c>
      <c r="N47" s="10" t="s">
        <v>431</v>
      </c>
      <c r="O47" s="10" t="s">
        <v>432</v>
      </c>
      <c r="P47" s="10" t="s">
        <v>433</v>
      </c>
      <c r="Q47" s="10">
        <v>90000</v>
      </c>
      <c r="R47" s="10">
        <v>45000</v>
      </c>
      <c r="S47" s="10">
        <v>200</v>
      </c>
      <c r="T47" s="10">
        <v>80</v>
      </c>
      <c r="U47" s="10">
        <v>37</v>
      </c>
      <c r="V47" s="16" t="s">
        <v>53</v>
      </c>
      <c r="W47" s="10">
        <v>30</v>
      </c>
      <c r="X47" s="10" t="s">
        <v>305</v>
      </c>
      <c r="Y47" s="10" t="s">
        <v>177</v>
      </c>
      <c r="Z47" s="10" t="s">
        <v>301</v>
      </c>
      <c r="AA47" s="10">
        <v>90</v>
      </c>
      <c r="AB47" s="10">
        <v>450</v>
      </c>
      <c r="AC47" s="10">
        <v>290</v>
      </c>
      <c r="AD47" s="10">
        <v>290</v>
      </c>
      <c r="AE47" s="10">
        <v>45</v>
      </c>
      <c r="AF47" s="10">
        <v>25</v>
      </c>
      <c r="AG47" s="10">
        <v>100</v>
      </c>
      <c r="AH47" s="10">
        <v>60</v>
      </c>
      <c r="AI47" s="10">
        <v>63</v>
      </c>
      <c r="AJ47" s="10" t="s">
        <v>445</v>
      </c>
      <c r="AK47" s="10">
        <v>11</v>
      </c>
      <c r="AL47" s="10" t="s">
        <v>324</v>
      </c>
      <c r="AM47" s="10">
        <v>550</v>
      </c>
      <c r="AN47" s="13">
        <v>3200</v>
      </c>
      <c r="AO47" s="2"/>
    </row>
    <row r="48" spans="2:69" ht="57" customHeight="1">
      <c r="B48" s="45" t="s">
        <v>446</v>
      </c>
      <c r="C48" s="46" t="s">
        <v>447</v>
      </c>
      <c r="D48" s="20" t="s">
        <v>448</v>
      </c>
      <c r="E48" s="10">
        <v>6800</v>
      </c>
      <c r="F48" s="10">
        <v>4080</v>
      </c>
      <c r="G48" s="10" t="s">
        <v>449</v>
      </c>
      <c r="H48" s="20" t="s">
        <v>450</v>
      </c>
      <c r="I48" s="10">
        <v>1830</v>
      </c>
      <c r="J48" s="10" t="s">
        <v>451</v>
      </c>
      <c r="K48" s="10" t="s">
        <v>452</v>
      </c>
      <c r="L48" s="10" t="s">
        <v>453</v>
      </c>
      <c r="M48" s="10">
        <v>150.1</v>
      </c>
      <c r="N48" s="10">
        <v>19</v>
      </c>
      <c r="O48" s="10">
        <v>35</v>
      </c>
      <c r="P48" s="10" t="s">
        <v>454</v>
      </c>
      <c r="Q48" s="21">
        <v>2710</v>
      </c>
      <c r="R48" s="14" t="s">
        <v>455</v>
      </c>
      <c r="S48" s="10">
        <v>300</v>
      </c>
      <c r="T48" s="10" t="s">
        <v>456</v>
      </c>
      <c r="U48" s="10">
        <v>35</v>
      </c>
      <c r="V48" s="16" t="s">
        <v>53</v>
      </c>
      <c r="W48" s="10">
        <v>40</v>
      </c>
      <c r="X48" s="10" t="s">
        <v>457</v>
      </c>
      <c r="Y48" s="10" t="s">
        <v>458</v>
      </c>
      <c r="Z48" s="10" t="s">
        <v>459</v>
      </c>
      <c r="AA48" s="10">
        <v>50</v>
      </c>
      <c r="AB48" s="10" t="s">
        <v>460</v>
      </c>
      <c r="AC48" s="10" t="s">
        <v>461</v>
      </c>
      <c r="AD48" s="10" t="s">
        <v>461</v>
      </c>
      <c r="AE48" s="10" t="s">
        <v>462</v>
      </c>
      <c r="AF48" s="10" t="s">
        <v>463</v>
      </c>
      <c r="AG48" s="10" t="s">
        <v>464</v>
      </c>
      <c r="AH48" s="10">
        <v>71</v>
      </c>
      <c r="AI48" s="10">
        <v>3</v>
      </c>
      <c r="AJ48" s="10" t="s">
        <v>465</v>
      </c>
      <c r="AK48" s="10">
        <v>18</v>
      </c>
      <c r="AL48" s="10" t="s">
        <v>466</v>
      </c>
      <c r="AM48" s="10">
        <v>600</v>
      </c>
      <c r="AN48" s="13" t="s">
        <v>467</v>
      </c>
      <c r="AO48" s="2"/>
    </row>
    <row r="49" spans="2:40" ht="24.75" customHeight="1">
      <c r="B49" s="53" t="s">
        <v>468</v>
      </c>
      <c r="C49" s="10" t="s">
        <v>469</v>
      </c>
      <c r="D49" s="10" t="s">
        <v>470</v>
      </c>
      <c r="E49" s="10">
        <v>30000</v>
      </c>
      <c r="F49" s="10">
        <v>30000</v>
      </c>
      <c r="G49" s="10" t="s">
        <v>471</v>
      </c>
      <c r="H49" s="10" t="s">
        <v>472</v>
      </c>
      <c r="I49" s="10">
        <v>15000</v>
      </c>
      <c r="J49" s="10" t="s">
        <v>56</v>
      </c>
      <c r="K49" s="10" t="s">
        <v>473</v>
      </c>
      <c r="L49" s="10" t="s">
        <v>474</v>
      </c>
      <c r="M49" s="10" t="s">
        <v>475</v>
      </c>
      <c r="N49" s="10" t="s">
        <v>476</v>
      </c>
      <c r="O49" s="5" t="s">
        <v>66</v>
      </c>
      <c r="P49" s="5" t="s">
        <v>66</v>
      </c>
      <c r="Q49" s="5" t="s">
        <v>66</v>
      </c>
      <c r="R49" s="10" t="s">
        <v>477</v>
      </c>
      <c r="S49" s="10" t="s">
        <v>478</v>
      </c>
      <c r="T49" s="15" t="s">
        <v>479</v>
      </c>
      <c r="U49" s="15" t="s">
        <v>480</v>
      </c>
      <c r="V49" s="16" t="s">
        <v>53</v>
      </c>
      <c r="W49" s="15">
        <v>30</v>
      </c>
      <c r="X49" s="15" t="s">
        <v>481</v>
      </c>
      <c r="Y49" s="15">
        <v>1285</v>
      </c>
      <c r="Z49" s="15" t="s">
        <v>482</v>
      </c>
      <c r="AA49" s="15">
        <v>0</v>
      </c>
      <c r="AB49" s="16" t="s">
        <v>483</v>
      </c>
      <c r="AC49" s="15" t="s">
        <v>484</v>
      </c>
      <c r="AD49" s="15" t="s">
        <v>484</v>
      </c>
      <c r="AE49" s="15" t="s">
        <v>485</v>
      </c>
      <c r="AF49" s="15" t="s">
        <v>486</v>
      </c>
      <c r="AG49" s="15" t="s">
        <v>487</v>
      </c>
      <c r="AH49" s="15" t="s">
        <v>488</v>
      </c>
      <c r="AI49" s="15">
        <v>61</v>
      </c>
      <c r="AJ49" s="19" t="s">
        <v>66</v>
      </c>
      <c r="AK49" s="16">
        <v>20</v>
      </c>
      <c r="AL49" s="15" t="s">
        <v>489</v>
      </c>
      <c r="AM49" s="7" t="s">
        <v>66</v>
      </c>
      <c r="AN49" s="28">
        <v>2693</v>
      </c>
    </row>
    <row r="50" spans="2:40" ht="24.75" customHeight="1">
      <c r="B50" s="53"/>
      <c r="C50" s="10" t="s">
        <v>490</v>
      </c>
      <c r="D50" s="10" t="s">
        <v>491</v>
      </c>
      <c r="E50" s="10">
        <v>30000</v>
      </c>
      <c r="F50" s="10">
        <v>30000</v>
      </c>
      <c r="G50" s="10" t="s">
        <v>471</v>
      </c>
      <c r="H50" s="10" t="s">
        <v>472</v>
      </c>
      <c r="I50" s="10">
        <v>15000</v>
      </c>
      <c r="J50" s="10" t="s">
        <v>492</v>
      </c>
      <c r="K50" s="10" t="s">
        <v>493</v>
      </c>
      <c r="L50" s="10" t="s">
        <v>494</v>
      </c>
      <c r="M50" s="10" t="s">
        <v>495</v>
      </c>
      <c r="N50" s="10" t="s">
        <v>496</v>
      </c>
      <c r="O50" s="5" t="s">
        <v>66</v>
      </c>
      <c r="P50" s="5" t="s">
        <v>66</v>
      </c>
      <c r="Q50" s="5" t="s">
        <v>66</v>
      </c>
      <c r="R50" s="10" t="s">
        <v>477</v>
      </c>
      <c r="S50" s="10" t="s">
        <v>478</v>
      </c>
      <c r="T50" s="15" t="s">
        <v>234</v>
      </c>
      <c r="U50" s="15" t="s">
        <v>497</v>
      </c>
      <c r="V50" s="16" t="s">
        <v>53</v>
      </c>
      <c r="W50" s="15">
        <v>30</v>
      </c>
      <c r="X50" s="15" t="s">
        <v>498</v>
      </c>
      <c r="Y50" s="15">
        <v>1285</v>
      </c>
      <c r="Z50" s="15" t="s">
        <v>482</v>
      </c>
      <c r="AA50" s="15">
        <v>0</v>
      </c>
      <c r="AB50" s="16" t="s">
        <v>499</v>
      </c>
      <c r="AC50" s="15" t="s">
        <v>500</v>
      </c>
      <c r="AD50" s="15" t="s">
        <v>500</v>
      </c>
      <c r="AE50" s="15" t="s">
        <v>501</v>
      </c>
      <c r="AF50" s="15" t="s">
        <v>502</v>
      </c>
      <c r="AG50" s="15" t="s">
        <v>503</v>
      </c>
      <c r="AH50" s="15" t="s">
        <v>488</v>
      </c>
      <c r="AI50" s="15">
        <v>68</v>
      </c>
      <c r="AJ50" s="19" t="s">
        <v>66</v>
      </c>
      <c r="AK50" s="16">
        <v>19</v>
      </c>
      <c r="AL50" s="15" t="s">
        <v>504</v>
      </c>
      <c r="AM50" s="7" t="s">
        <v>66</v>
      </c>
      <c r="AN50" s="28">
        <v>3000</v>
      </c>
    </row>
    <row r="51" spans="2:40" ht="24.75" customHeight="1">
      <c r="B51" s="53"/>
      <c r="C51" s="10" t="s">
        <v>505</v>
      </c>
      <c r="D51" s="10" t="s">
        <v>506</v>
      </c>
      <c r="E51" s="10">
        <v>30000</v>
      </c>
      <c r="F51" s="10">
        <v>30000</v>
      </c>
      <c r="G51" s="10" t="s">
        <v>471</v>
      </c>
      <c r="H51" s="10" t="s">
        <v>472</v>
      </c>
      <c r="I51" s="10">
        <v>15000</v>
      </c>
      <c r="J51" s="10" t="s">
        <v>507</v>
      </c>
      <c r="K51" s="10" t="s">
        <v>508</v>
      </c>
      <c r="L51" s="10" t="s">
        <v>509</v>
      </c>
      <c r="M51" s="10" t="s">
        <v>510</v>
      </c>
      <c r="N51" s="10" t="s">
        <v>511</v>
      </c>
      <c r="O51" s="5" t="s">
        <v>66</v>
      </c>
      <c r="P51" s="5" t="s">
        <v>66</v>
      </c>
      <c r="Q51" s="5" t="s">
        <v>66</v>
      </c>
      <c r="R51" s="10" t="s">
        <v>477</v>
      </c>
      <c r="S51" s="10" t="s">
        <v>478</v>
      </c>
      <c r="T51" s="15" t="s">
        <v>422</v>
      </c>
      <c r="U51" s="15" t="s">
        <v>497</v>
      </c>
      <c r="V51" s="16" t="s">
        <v>53</v>
      </c>
      <c r="W51" s="15">
        <v>30</v>
      </c>
      <c r="X51" s="15" t="s">
        <v>512</v>
      </c>
      <c r="Y51" s="15">
        <v>1285</v>
      </c>
      <c r="Z51" s="15" t="s">
        <v>482</v>
      </c>
      <c r="AA51" s="15">
        <v>0</v>
      </c>
      <c r="AB51" s="16" t="s">
        <v>513</v>
      </c>
      <c r="AC51" s="15" t="s">
        <v>514</v>
      </c>
      <c r="AD51" s="15" t="s">
        <v>514</v>
      </c>
      <c r="AE51" s="15" t="s">
        <v>90</v>
      </c>
      <c r="AF51" s="15" t="s">
        <v>515</v>
      </c>
      <c r="AG51" s="15" t="s">
        <v>516</v>
      </c>
      <c r="AH51" s="15" t="s">
        <v>517</v>
      </c>
      <c r="AI51" s="15">
        <v>71</v>
      </c>
      <c r="AJ51" s="19" t="s">
        <v>66</v>
      </c>
      <c r="AK51" s="16">
        <v>18</v>
      </c>
      <c r="AL51" s="15" t="s">
        <v>518</v>
      </c>
      <c r="AM51" s="7" t="s">
        <v>66</v>
      </c>
      <c r="AN51" s="28">
        <v>3300</v>
      </c>
    </row>
    <row r="52" spans="2:40" ht="24.75" customHeight="1">
      <c r="B52" s="53"/>
      <c r="C52" s="10" t="s">
        <v>519</v>
      </c>
      <c r="D52" s="10" t="s">
        <v>520</v>
      </c>
      <c r="E52" s="10">
        <v>30000</v>
      </c>
      <c r="F52" s="10">
        <v>30000</v>
      </c>
      <c r="G52" s="10" t="s">
        <v>471</v>
      </c>
      <c r="H52" s="10" t="s">
        <v>472</v>
      </c>
      <c r="I52" s="10">
        <v>15000</v>
      </c>
      <c r="J52" s="10" t="s">
        <v>521</v>
      </c>
      <c r="K52" s="10" t="s">
        <v>522</v>
      </c>
      <c r="L52" s="10" t="s">
        <v>523</v>
      </c>
      <c r="M52" s="10" t="s">
        <v>524</v>
      </c>
      <c r="N52" s="10" t="s">
        <v>525</v>
      </c>
      <c r="O52" s="5" t="s">
        <v>66</v>
      </c>
      <c r="P52" s="5" t="s">
        <v>66</v>
      </c>
      <c r="Q52" s="5" t="s">
        <v>66</v>
      </c>
      <c r="R52" s="10" t="s">
        <v>477</v>
      </c>
      <c r="S52" s="10" t="s">
        <v>478</v>
      </c>
      <c r="T52" s="15" t="s">
        <v>292</v>
      </c>
      <c r="U52" s="15" t="s">
        <v>497</v>
      </c>
      <c r="V52" s="16" t="s">
        <v>53</v>
      </c>
      <c r="W52" s="15">
        <v>30</v>
      </c>
      <c r="X52" s="15" t="s">
        <v>504</v>
      </c>
      <c r="Y52" s="15">
        <v>1285</v>
      </c>
      <c r="Z52" s="15" t="s">
        <v>482</v>
      </c>
      <c r="AA52" s="15">
        <v>0</v>
      </c>
      <c r="AB52" s="16" t="s">
        <v>526</v>
      </c>
      <c r="AC52" s="15" t="s">
        <v>527</v>
      </c>
      <c r="AD52" s="15" t="s">
        <v>527</v>
      </c>
      <c r="AE52" s="15" t="s">
        <v>528</v>
      </c>
      <c r="AF52" s="15" t="s">
        <v>529</v>
      </c>
      <c r="AG52" s="15" t="s">
        <v>369</v>
      </c>
      <c r="AH52" s="15" t="s">
        <v>530</v>
      </c>
      <c r="AI52" s="15">
        <v>74</v>
      </c>
      <c r="AJ52" s="19" t="s">
        <v>66</v>
      </c>
      <c r="AK52" s="16">
        <v>17</v>
      </c>
      <c r="AL52" s="15" t="s">
        <v>183</v>
      </c>
      <c r="AM52" s="7" t="s">
        <v>66</v>
      </c>
      <c r="AN52" s="28">
        <v>3566</v>
      </c>
    </row>
    <row r="53" spans="2:40" ht="33.75" customHeight="1">
      <c r="B53" s="53" t="s">
        <v>531</v>
      </c>
      <c r="C53" s="15" t="s">
        <v>532</v>
      </c>
      <c r="D53" s="20" t="s">
        <v>533</v>
      </c>
      <c r="E53" s="10">
        <v>250</v>
      </c>
      <c r="F53" s="20">
        <v>180</v>
      </c>
      <c r="G53" s="10" t="s">
        <v>253</v>
      </c>
      <c r="H53" s="10" t="s">
        <v>534</v>
      </c>
      <c r="I53" s="10">
        <v>54</v>
      </c>
      <c r="J53" s="20" t="s">
        <v>535</v>
      </c>
      <c r="K53" s="10" t="s">
        <v>536</v>
      </c>
      <c r="L53" s="10">
        <v>100</v>
      </c>
      <c r="M53" s="10" t="s">
        <v>536</v>
      </c>
      <c r="N53" s="10">
        <v>22</v>
      </c>
      <c r="O53" s="10">
        <v>4</v>
      </c>
      <c r="P53" s="10">
        <v>9</v>
      </c>
      <c r="Q53" s="10">
        <v>33800</v>
      </c>
      <c r="R53" s="10">
        <v>21600</v>
      </c>
      <c r="S53" s="10">
        <v>1400</v>
      </c>
      <c r="T53" s="10">
        <v>100</v>
      </c>
      <c r="U53" s="10">
        <v>37</v>
      </c>
      <c r="V53" s="16" t="s">
        <v>53</v>
      </c>
      <c r="W53" s="10">
        <v>45</v>
      </c>
      <c r="X53" s="10" t="s">
        <v>285</v>
      </c>
      <c r="Y53" s="20">
        <v>1600</v>
      </c>
      <c r="Z53" s="10" t="s">
        <v>537</v>
      </c>
      <c r="AA53" s="10">
        <v>180</v>
      </c>
      <c r="AB53" s="20">
        <v>50</v>
      </c>
      <c r="AC53" s="20" t="s">
        <v>538</v>
      </c>
      <c r="AD53" s="10" t="s">
        <v>538</v>
      </c>
      <c r="AE53" s="20" t="s">
        <v>261</v>
      </c>
      <c r="AF53" s="10">
        <v>20</v>
      </c>
      <c r="AG53" s="10">
        <v>100</v>
      </c>
      <c r="AH53" s="20">
        <v>56</v>
      </c>
      <c r="AI53" s="10">
        <v>7</v>
      </c>
      <c r="AJ53" s="20" t="s">
        <v>539</v>
      </c>
      <c r="AK53" s="20" t="s">
        <v>540</v>
      </c>
      <c r="AL53" s="10" t="s">
        <v>285</v>
      </c>
      <c r="AM53" s="20">
        <v>1200</v>
      </c>
      <c r="AN53" s="13">
        <v>1600</v>
      </c>
    </row>
    <row r="54" spans="2:40" ht="33.75" customHeight="1">
      <c r="B54" s="53"/>
      <c r="C54" s="15" t="s">
        <v>541</v>
      </c>
      <c r="D54" s="20" t="s">
        <v>542</v>
      </c>
      <c r="E54" s="10">
        <v>250</v>
      </c>
      <c r="F54" s="20">
        <v>180</v>
      </c>
      <c r="G54" s="10" t="s">
        <v>253</v>
      </c>
      <c r="H54" s="10" t="s">
        <v>534</v>
      </c>
      <c r="I54" s="10">
        <v>54</v>
      </c>
      <c r="J54" s="20" t="s">
        <v>143</v>
      </c>
      <c r="K54" s="10" t="s">
        <v>437</v>
      </c>
      <c r="L54" s="10">
        <v>92</v>
      </c>
      <c r="M54" s="10" t="s">
        <v>543</v>
      </c>
      <c r="N54" s="10">
        <v>29</v>
      </c>
      <c r="O54" s="10">
        <v>3</v>
      </c>
      <c r="P54" s="10">
        <v>8</v>
      </c>
      <c r="Q54" s="10">
        <v>86400</v>
      </c>
      <c r="R54" s="10">
        <v>55400</v>
      </c>
      <c r="S54" s="10">
        <v>2200</v>
      </c>
      <c r="T54" s="10">
        <v>20</v>
      </c>
      <c r="U54" s="10">
        <v>37</v>
      </c>
      <c r="V54" s="16" t="s">
        <v>53</v>
      </c>
      <c r="W54" s="10">
        <v>20</v>
      </c>
      <c r="X54" s="10" t="s">
        <v>285</v>
      </c>
      <c r="Y54" s="20">
        <v>720</v>
      </c>
      <c r="Z54" s="10" t="s">
        <v>544</v>
      </c>
      <c r="AA54" s="10">
        <v>180</v>
      </c>
      <c r="AB54" s="20">
        <v>250</v>
      </c>
      <c r="AC54" s="20" t="s">
        <v>545</v>
      </c>
      <c r="AD54" s="10" t="s">
        <v>545</v>
      </c>
      <c r="AE54" s="20" t="s">
        <v>376</v>
      </c>
      <c r="AF54" s="10">
        <v>30</v>
      </c>
      <c r="AG54" s="10">
        <v>20</v>
      </c>
      <c r="AH54" s="20">
        <v>27</v>
      </c>
      <c r="AI54" s="10">
        <v>17</v>
      </c>
      <c r="AJ54" s="20" t="s">
        <v>546</v>
      </c>
      <c r="AK54" s="20">
        <v>1</v>
      </c>
      <c r="AL54" s="10" t="s">
        <v>285</v>
      </c>
      <c r="AM54" s="20">
        <v>1000</v>
      </c>
      <c r="AN54" s="13">
        <v>720</v>
      </c>
    </row>
    <row r="55" spans="2:40" ht="33.75" customHeight="1">
      <c r="B55" s="53"/>
      <c r="C55" s="15" t="s">
        <v>547</v>
      </c>
      <c r="D55" s="20" t="s">
        <v>548</v>
      </c>
      <c r="E55" s="10">
        <v>250</v>
      </c>
      <c r="F55" s="20">
        <v>180</v>
      </c>
      <c r="G55" s="10" t="s">
        <v>253</v>
      </c>
      <c r="H55" s="10" t="s">
        <v>534</v>
      </c>
      <c r="I55" s="10">
        <v>54</v>
      </c>
      <c r="J55" s="20" t="s">
        <v>549</v>
      </c>
      <c r="K55" s="10" t="s">
        <v>382</v>
      </c>
      <c r="L55" s="10">
        <v>98</v>
      </c>
      <c r="M55" s="10" t="s">
        <v>445</v>
      </c>
      <c r="N55" s="10">
        <v>92</v>
      </c>
      <c r="O55" s="10">
        <v>3</v>
      </c>
      <c r="P55" s="10">
        <v>8</v>
      </c>
      <c r="Q55" s="10">
        <v>92300</v>
      </c>
      <c r="R55" s="10">
        <v>52400</v>
      </c>
      <c r="S55" s="18">
        <v>2900</v>
      </c>
      <c r="T55" s="10">
        <v>30</v>
      </c>
      <c r="U55" s="10">
        <v>37</v>
      </c>
      <c r="V55" s="16" t="s">
        <v>53</v>
      </c>
      <c r="W55" s="10">
        <v>20</v>
      </c>
      <c r="X55" s="10" t="s">
        <v>285</v>
      </c>
      <c r="Y55" s="20">
        <v>790</v>
      </c>
      <c r="Z55" s="10" t="s">
        <v>550</v>
      </c>
      <c r="AA55" s="10">
        <v>180</v>
      </c>
      <c r="AB55" s="20">
        <v>180</v>
      </c>
      <c r="AC55" s="20" t="s">
        <v>551</v>
      </c>
      <c r="AD55" s="10" t="s">
        <v>551</v>
      </c>
      <c r="AE55" s="20" t="s">
        <v>536</v>
      </c>
      <c r="AF55" s="10">
        <v>25</v>
      </c>
      <c r="AG55" s="10">
        <v>30</v>
      </c>
      <c r="AH55" s="20">
        <v>33</v>
      </c>
      <c r="AI55" s="10">
        <v>11</v>
      </c>
      <c r="AJ55" s="20" t="s">
        <v>552</v>
      </c>
      <c r="AK55" s="20" t="s">
        <v>319</v>
      </c>
      <c r="AL55" s="10" t="s">
        <v>285</v>
      </c>
      <c r="AM55" s="20">
        <v>1500</v>
      </c>
      <c r="AN55" s="13">
        <v>790</v>
      </c>
    </row>
    <row r="56" spans="2:40" ht="29.25">
      <c r="B56" s="45" t="s">
        <v>553</v>
      </c>
      <c r="C56" s="10">
        <v>1</v>
      </c>
      <c r="D56" s="10" t="s">
        <v>554</v>
      </c>
      <c r="E56" s="20">
        <v>45000</v>
      </c>
      <c r="F56" s="20">
        <v>40000</v>
      </c>
      <c r="G56" s="10" t="s">
        <v>253</v>
      </c>
      <c r="H56" s="10" t="s">
        <v>555</v>
      </c>
      <c r="I56" s="5" t="s">
        <v>66</v>
      </c>
      <c r="J56" s="20" t="s">
        <v>556</v>
      </c>
      <c r="K56" s="20" t="s">
        <v>557</v>
      </c>
      <c r="L56" s="10" t="s">
        <v>257</v>
      </c>
      <c r="M56" s="20" t="s">
        <v>558</v>
      </c>
      <c r="N56" s="10" t="s">
        <v>559</v>
      </c>
      <c r="O56" s="10" t="s">
        <v>560</v>
      </c>
      <c r="P56" s="10" t="s">
        <v>561</v>
      </c>
      <c r="Q56" s="20">
        <v>271000</v>
      </c>
      <c r="R56" s="12" t="s">
        <v>477</v>
      </c>
      <c r="S56" s="10" t="s">
        <v>478</v>
      </c>
      <c r="T56" s="10" t="s">
        <v>562</v>
      </c>
      <c r="U56" s="10">
        <v>37</v>
      </c>
      <c r="V56" s="16" t="s">
        <v>53</v>
      </c>
      <c r="W56" s="10">
        <v>25</v>
      </c>
      <c r="X56" s="10" t="s">
        <v>159</v>
      </c>
      <c r="Y56" s="15">
        <v>1285</v>
      </c>
      <c r="Z56" s="20" t="s">
        <v>379</v>
      </c>
      <c r="AA56" s="10">
        <v>0</v>
      </c>
      <c r="AB56" s="20">
        <v>540</v>
      </c>
      <c r="AC56" s="20">
        <v>330</v>
      </c>
      <c r="AD56" s="10">
        <v>330</v>
      </c>
      <c r="AE56" s="20" t="s">
        <v>563</v>
      </c>
      <c r="AF56" s="10">
        <v>42</v>
      </c>
      <c r="AG56" s="10" t="s">
        <v>564</v>
      </c>
      <c r="AH56" s="20">
        <v>61</v>
      </c>
      <c r="AI56" s="10">
        <v>35</v>
      </c>
      <c r="AJ56" s="8" t="s">
        <v>66</v>
      </c>
      <c r="AK56" s="20">
        <v>10</v>
      </c>
      <c r="AL56" s="10" t="s">
        <v>163</v>
      </c>
      <c r="AM56" s="8" t="s">
        <v>66</v>
      </c>
      <c r="AN56" s="6" t="s">
        <v>66</v>
      </c>
    </row>
    <row r="57" spans="2:40">
      <c r="B57" s="55" t="s">
        <v>565</v>
      </c>
      <c r="C57" s="10" t="s">
        <v>566</v>
      </c>
      <c r="D57" s="20" t="s">
        <v>567</v>
      </c>
      <c r="E57" s="20">
        <v>2500</v>
      </c>
      <c r="F57" s="20">
        <v>1500</v>
      </c>
      <c r="G57" s="10" t="s">
        <v>253</v>
      </c>
      <c r="H57" s="10" t="s">
        <v>568</v>
      </c>
      <c r="I57" s="5" t="s">
        <v>66</v>
      </c>
      <c r="J57" s="20" t="s">
        <v>556</v>
      </c>
      <c r="K57" s="20">
        <v>203</v>
      </c>
      <c r="L57" s="10" t="s">
        <v>257</v>
      </c>
      <c r="M57" s="20" t="s">
        <v>558</v>
      </c>
      <c r="N57" s="10" t="s">
        <v>559</v>
      </c>
      <c r="O57" s="10">
        <v>15</v>
      </c>
      <c r="P57" s="10">
        <v>42</v>
      </c>
      <c r="Q57" s="20">
        <v>271000</v>
      </c>
      <c r="R57" s="12" t="s">
        <v>477</v>
      </c>
      <c r="S57" s="10" t="s">
        <v>478</v>
      </c>
      <c r="T57" s="10" t="s">
        <v>562</v>
      </c>
      <c r="U57" s="10">
        <v>37</v>
      </c>
      <c r="V57" s="16" t="s">
        <v>53</v>
      </c>
      <c r="W57" s="10">
        <v>30</v>
      </c>
      <c r="X57" s="10" t="s">
        <v>285</v>
      </c>
      <c r="Y57" s="15">
        <v>1285</v>
      </c>
      <c r="Z57" s="20" t="s">
        <v>291</v>
      </c>
      <c r="AA57" s="10">
        <v>0</v>
      </c>
      <c r="AB57" s="20">
        <v>402</v>
      </c>
      <c r="AC57" s="20">
        <v>263</v>
      </c>
      <c r="AD57" s="10">
        <v>263</v>
      </c>
      <c r="AE57" s="20" t="s">
        <v>569</v>
      </c>
      <c r="AF57" s="10">
        <v>42</v>
      </c>
      <c r="AG57" s="10" t="s">
        <v>564</v>
      </c>
      <c r="AH57" s="20">
        <v>65</v>
      </c>
      <c r="AI57" s="10">
        <v>31</v>
      </c>
      <c r="AJ57" s="20" t="s">
        <v>570</v>
      </c>
      <c r="AK57" s="20">
        <v>19</v>
      </c>
      <c r="AL57" s="10" t="s">
        <v>571</v>
      </c>
      <c r="AM57" s="8" t="s">
        <v>66</v>
      </c>
      <c r="AN57" s="29" t="s">
        <v>66</v>
      </c>
    </row>
    <row r="58" spans="2:40">
      <c r="B58" s="55"/>
      <c r="C58" s="10" t="s">
        <v>572</v>
      </c>
      <c r="D58" s="20" t="s">
        <v>573</v>
      </c>
      <c r="E58" s="20">
        <v>2500</v>
      </c>
      <c r="F58" s="20">
        <v>1500</v>
      </c>
      <c r="G58" s="10" t="s">
        <v>253</v>
      </c>
      <c r="H58" s="10" t="s">
        <v>568</v>
      </c>
      <c r="I58" s="5" t="s">
        <v>66</v>
      </c>
      <c r="J58" s="20" t="s">
        <v>431</v>
      </c>
      <c r="K58" s="20">
        <v>189</v>
      </c>
      <c r="L58" s="10" t="s">
        <v>574</v>
      </c>
      <c r="M58" s="20">
        <v>179</v>
      </c>
      <c r="N58" s="10" t="s">
        <v>259</v>
      </c>
      <c r="O58" s="10" t="s">
        <v>575</v>
      </c>
      <c r="P58" s="10">
        <v>39</v>
      </c>
      <c r="Q58" s="20">
        <v>252000</v>
      </c>
      <c r="R58" s="12" t="s">
        <v>477</v>
      </c>
      <c r="S58" s="10" t="s">
        <v>478</v>
      </c>
      <c r="T58" s="10" t="s">
        <v>562</v>
      </c>
      <c r="U58" s="10">
        <v>37</v>
      </c>
      <c r="V58" s="16" t="s">
        <v>53</v>
      </c>
      <c r="W58" s="10">
        <v>30</v>
      </c>
      <c r="X58" s="10" t="s">
        <v>305</v>
      </c>
      <c r="Y58" s="15">
        <v>1285</v>
      </c>
      <c r="Z58" s="20" t="s">
        <v>303</v>
      </c>
      <c r="AA58" s="10">
        <v>0</v>
      </c>
      <c r="AB58" s="20">
        <v>406</v>
      </c>
      <c r="AC58" s="20">
        <v>268</v>
      </c>
      <c r="AD58" s="10">
        <v>268</v>
      </c>
      <c r="AE58" s="20" t="s">
        <v>576</v>
      </c>
      <c r="AF58" s="10">
        <v>41</v>
      </c>
      <c r="AG58" s="10" t="s">
        <v>564</v>
      </c>
      <c r="AH58" s="20">
        <v>66</v>
      </c>
      <c r="AI58" s="10">
        <v>32</v>
      </c>
      <c r="AJ58" s="20" t="s">
        <v>577</v>
      </c>
      <c r="AK58" s="20">
        <v>12</v>
      </c>
      <c r="AL58" s="10" t="s">
        <v>571</v>
      </c>
      <c r="AM58" s="8" t="s">
        <v>66</v>
      </c>
      <c r="AN58" s="29" t="s">
        <v>66</v>
      </c>
    </row>
    <row r="59" spans="2:40">
      <c r="B59" s="55"/>
      <c r="C59" s="10" t="s">
        <v>578</v>
      </c>
      <c r="D59" s="20" t="s">
        <v>579</v>
      </c>
      <c r="E59" s="20">
        <v>2500</v>
      </c>
      <c r="F59" s="20">
        <v>1500</v>
      </c>
      <c r="G59" s="10" t="s">
        <v>253</v>
      </c>
      <c r="H59" s="10" t="s">
        <v>568</v>
      </c>
      <c r="I59" s="5" t="s">
        <v>66</v>
      </c>
      <c r="J59" s="20" t="s">
        <v>580</v>
      </c>
      <c r="K59" s="20">
        <v>220</v>
      </c>
      <c r="L59" s="10" t="s">
        <v>581</v>
      </c>
      <c r="M59" s="20">
        <v>205</v>
      </c>
      <c r="N59" s="10" t="s">
        <v>582</v>
      </c>
      <c r="O59" s="10" t="s">
        <v>432</v>
      </c>
      <c r="P59" s="10">
        <v>36</v>
      </c>
      <c r="Q59" s="20">
        <v>287000</v>
      </c>
      <c r="R59" s="12" t="s">
        <v>477</v>
      </c>
      <c r="S59" s="10" t="s">
        <v>478</v>
      </c>
      <c r="T59" s="10" t="s">
        <v>562</v>
      </c>
      <c r="U59" s="10">
        <v>37</v>
      </c>
      <c r="V59" s="16" t="s">
        <v>53</v>
      </c>
      <c r="W59" s="10">
        <v>30</v>
      </c>
      <c r="X59" s="10" t="s">
        <v>305</v>
      </c>
      <c r="Y59" s="15">
        <v>1285</v>
      </c>
      <c r="Z59" s="20" t="s">
        <v>328</v>
      </c>
      <c r="AA59" s="10">
        <v>0</v>
      </c>
      <c r="AB59" s="20">
        <v>545</v>
      </c>
      <c r="AC59" s="20">
        <v>371</v>
      </c>
      <c r="AD59" s="10">
        <v>371</v>
      </c>
      <c r="AE59" s="20" t="s">
        <v>583</v>
      </c>
      <c r="AF59" s="10">
        <v>50</v>
      </c>
      <c r="AG59" s="10" t="s">
        <v>564</v>
      </c>
      <c r="AH59" s="20">
        <v>68</v>
      </c>
      <c r="AI59" s="10">
        <v>38</v>
      </c>
      <c r="AJ59" s="20" t="s">
        <v>584</v>
      </c>
      <c r="AK59" s="20">
        <v>7</v>
      </c>
      <c r="AL59" s="10" t="s">
        <v>571</v>
      </c>
      <c r="AM59" s="8" t="s">
        <v>66</v>
      </c>
      <c r="AN59" s="29" t="s">
        <v>66</v>
      </c>
    </row>
    <row r="60" spans="2:40">
      <c r="B60" s="55"/>
      <c r="C60" s="10" t="s">
        <v>585</v>
      </c>
      <c r="D60" s="20" t="s">
        <v>586</v>
      </c>
      <c r="E60" s="20">
        <v>2500</v>
      </c>
      <c r="F60" s="20">
        <v>1500</v>
      </c>
      <c r="G60" s="10" t="s">
        <v>253</v>
      </c>
      <c r="H60" s="10" t="s">
        <v>568</v>
      </c>
      <c r="I60" s="5" t="s">
        <v>66</v>
      </c>
      <c r="J60" s="20" t="s">
        <v>587</v>
      </c>
      <c r="K60" s="20">
        <v>216</v>
      </c>
      <c r="L60" s="10" t="s">
        <v>588</v>
      </c>
      <c r="M60" s="20">
        <v>202</v>
      </c>
      <c r="N60" s="10" t="s">
        <v>589</v>
      </c>
      <c r="O60" s="10" t="s">
        <v>590</v>
      </c>
      <c r="P60" s="10">
        <v>37</v>
      </c>
      <c r="Q60" s="20">
        <v>283000</v>
      </c>
      <c r="R60" s="12" t="s">
        <v>477</v>
      </c>
      <c r="S60" s="10" t="s">
        <v>478</v>
      </c>
      <c r="T60" s="10" t="s">
        <v>562</v>
      </c>
      <c r="U60" s="10">
        <v>37</v>
      </c>
      <c r="V60" s="16" t="s">
        <v>53</v>
      </c>
      <c r="W60" s="10">
        <v>30</v>
      </c>
      <c r="X60" s="10" t="s">
        <v>305</v>
      </c>
      <c r="Y60" s="15">
        <v>1285</v>
      </c>
      <c r="Z60" s="20" t="s">
        <v>516</v>
      </c>
      <c r="AA60" s="10">
        <v>0</v>
      </c>
      <c r="AB60" s="20">
        <v>569</v>
      </c>
      <c r="AC60" s="20">
        <v>390</v>
      </c>
      <c r="AD60" s="10">
        <v>390</v>
      </c>
      <c r="AE60" s="20" t="s">
        <v>591</v>
      </c>
      <c r="AF60" s="10">
        <v>51</v>
      </c>
      <c r="AG60" s="10" t="s">
        <v>564</v>
      </c>
      <c r="AH60" s="20">
        <v>69</v>
      </c>
      <c r="AI60" s="10">
        <v>39</v>
      </c>
      <c r="AJ60" s="20" t="s">
        <v>64</v>
      </c>
      <c r="AK60" s="20">
        <v>8</v>
      </c>
      <c r="AL60" s="10" t="s">
        <v>571</v>
      </c>
      <c r="AM60" s="8" t="s">
        <v>66</v>
      </c>
      <c r="AN60" s="29" t="s">
        <v>66</v>
      </c>
    </row>
    <row r="61" spans="2:40">
      <c r="B61" s="55"/>
      <c r="C61" s="10" t="s">
        <v>592</v>
      </c>
      <c r="D61" s="20" t="s">
        <v>593</v>
      </c>
      <c r="E61" s="20">
        <v>2500</v>
      </c>
      <c r="F61" s="20">
        <v>1500</v>
      </c>
      <c r="G61" s="10" t="s">
        <v>253</v>
      </c>
      <c r="H61" s="10" t="s">
        <v>568</v>
      </c>
      <c r="I61" s="5" t="s">
        <v>66</v>
      </c>
      <c r="J61" s="20" t="s">
        <v>302</v>
      </c>
      <c r="K61" s="20">
        <v>200</v>
      </c>
      <c r="L61" s="10" t="s">
        <v>594</v>
      </c>
      <c r="M61" s="20">
        <v>190</v>
      </c>
      <c r="N61" s="10" t="s">
        <v>595</v>
      </c>
      <c r="O61" s="10">
        <v>15</v>
      </c>
      <c r="P61" s="10">
        <v>40</v>
      </c>
      <c r="Q61" s="20">
        <v>270000</v>
      </c>
      <c r="R61" s="12" t="s">
        <v>477</v>
      </c>
      <c r="S61" s="10" t="s">
        <v>478</v>
      </c>
      <c r="T61" s="10" t="s">
        <v>562</v>
      </c>
      <c r="U61" s="10">
        <v>37</v>
      </c>
      <c r="V61" s="16" t="s">
        <v>53</v>
      </c>
      <c r="W61" s="10">
        <v>30</v>
      </c>
      <c r="X61" s="10" t="s">
        <v>285</v>
      </c>
      <c r="Y61" s="15">
        <v>1285</v>
      </c>
      <c r="Z61" s="20" t="s">
        <v>327</v>
      </c>
      <c r="AA61" s="10">
        <v>0</v>
      </c>
      <c r="AB61" s="20">
        <v>484</v>
      </c>
      <c r="AC61" s="20">
        <v>334</v>
      </c>
      <c r="AD61" s="10">
        <v>334</v>
      </c>
      <c r="AE61" s="20" t="s">
        <v>596</v>
      </c>
      <c r="AF61" s="10">
        <v>45</v>
      </c>
      <c r="AG61" s="10" t="s">
        <v>564</v>
      </c>
      <c r="AH61" s="20">
        <v>69</v>
      </c>
      <c r="AI61" s="10">
        <v>35</v>
      </c>
      <c r="AJ61" s="20" t="s">
        <v>597</v>
      </c>
      <c r="AK61" s="20">
        <v>4</v>
      </c>
      <c r="AL61" s="10" t="s">
        <v>571</v>
      </c>
      <c r="AM61" s="8" t="s">
        <v>66</v>
      </c>
      <c r="AN61" s="29" t="s">
        <v>66</v>
      </c>
    </row>
    <row r="62" spans="2:40">
      <c r="B62" s="55"/>
      <c r="C62" s="10" t="s">
        <v>598</v>
      </c>
      <c r="D62" s="20" t="s">
        <v>599</v>
      </c>
      <c r="E62" s="20">
        <v>2500</v>
      </c>
      <c r="F62" s="20">
        <v>1500</v>
      </c>
      <c r="G62" s="10" t="s">
        <v>253</v>
      </c>
      <c r="H62" s="10" t="s">
        <v>568</v>
      </c>
      <c r="I62" s="5" t="s">
        <v>66</v>
      </c>
      <c r="J62" s="20" t="s">
        <v>302</v>
      </c>
      <c r="K62" s="20">
        <v>200</v>
      </c>
      <c r="L62" s="10" t="s">
        <v>594</v>
      </c>
      <c r="M62" s="20">
        <v>190</v>
      </c>
      <c r="N62" s="10" t="s">
        <v>595</v>
      </c>
      <c r="O62" s="10">
        <v>15</v>
      </c>
      <c r="P62" s="10">
        <v>40</v>
      </c>
      <c r="Q62" s="20">
        <v>270000</v>
      </c>
      <c r="R62" s="12" t="s">
        <v>477</v>
      </c>
      <c r="S62" s="10" t="s">
        <v>478</v>
      </c>
      <c r="T62" s="10" t="s">
        <v>562</v>
      </c>
      <c r="U62" s="10">
        <v>37</v>
      </c>
      <c r="V62" s="16" t="s">
        <v>53</v>
      </c>
      <c r="W62" s="10">
        <v>30</v>
      </c>
      <c r="X62" s="10" t="s">
        <v>285</v>
      </c>
      <c r="Y62" s="15">
        <v>1285</v>
      </c>
      <c r="Z62" s="20" t="s">
        <v>327</v>
      </c>
      <c r="AA62" s="10">
        <v>0</v>
      </c>
      <c r="AB62" s="20">
        <v>501</v>
      </c>
      <c r="AC62" s="20">
        <v>348</v>
      </c>
      <c r="AD62" s="10">
        <v>348</v>
      </c>
      <c r="AE62" s="20" t="s">
        <v>600</v>
      </c>
      <c r="AF62" s="10">
        <v>45</v>
      </c>
      <c r="AG62" s="10" t="s">
        <v>564</v>
      </c>
      <c r="AH62" s="20">
        <v>69</v>
      </c>
      <c r="AI62" s="10">
        <v>36</v>
      </c>
      <c r="AJ62" s="20" t="s">
        <v>601</v>
      </c>
      <c r="AK62" s="20">
        <v>4</v>
      </c>
      <c r="AL62" s="10" t="s">
        <v>571</v>
      </c>
      <c r="AM62" s="8" t="s">
        <v>66</v>
      </c>
      <c r="AN62" s="29" t="s">
        <v>66</v>
      </c>
    </row>
    <row r="63" spans="2:40" ht="29.25">
      <c r="B63" s="55"/>
      <c r="C63" s="10" t="s">
        <v>602</v>
      </c>
      <c r="D63" s="20" t="s">
        <v>603</v>
      </c>
      <c r="E63" s="20">
        <v>2500</v>
      </c>
      <c r="F63" s="20">
        <v>1500</v>
      </c>
      <c r="G63" s="10" t="s">
        <v>253</v>
      </c>
      <c r="H63" s="10" t="s">
        <v>568</v>
      </c>
      <c r="I63" s="5" t="s">
        <v>66</v>
      </c>
      <c r="J63" s="20" t="s">
        <v>587</v>
      </c>
      <c r="K63" s="20">
        <v>216</v>
      </c>
      <c r="L63" s="10" t="s">
        <v>588</v>
      </c>
      <c r="M63" s="20">
        <v>202</v>
      </c>
      <c r="N63" s="10" t="s">
        <v>604</v>
      </c>
      <c r="O63" s="10" t="s">
        <v>590</v>
      </c>
      <c r="P63" s="10">
        <v>37</v>
      </c>
      <c r="Q63" s="20">
        <v>283000</v>
      </c>
      <c r="R63" s="12" t="s">
        <v>477</v>
      </c>
      <c r="S63" s="10" t="s">
        <v>478</v>
      </c>
      <c r="T63" s="10" t="s">
        <v>562</v>
      </c>
      <c r="U63" s="10">
        <v>37</v>
      </c>
      <c r="V63" s="16" t="s">
        <v>53</v>
      </c>
      <c r="W63" s="10">
        <v>30</v>
      </c>
      <c r="X63" s="10" t="s">
        <v>305</v>
      </c>
      <c r="Y63" s="15">
        <v>1285</v>
      </c>
      <c r="Z63" s="20" t="s">
        <v>516</v>
      </c>
      <c r="AA63" s="10">
        <v>0</v>
      </c>
      <c r="AB63" s="20">
        <v>588</v>
      </c>
      <c r="AC63" s="20">
        <v>400</v>
      </c>
      <c r="AD63" s="10">
        <v>400</v>
      </c>
      <c r="AE63" s="20" t="s">
        <v>605</v>
      </c>
      <c r="AF63" s="10">
        <v>52</v>
      </c>
      <c r="AG63" s="10" t="s">
        <v>564</v>
      </c>
      <c r="AH63" s="20">
        <v>68</v>
      </c>
      <c r="AI63" s="10">
        <v>40</v>
      </c>
      <c r="AJ63" s="20" t="s">
        <v>606</v>
      </c>
      <c r="AK63" s="20">
        <v>7</v>
      </c>
      <c r="AL63" s="10" t="s">
        <v>571</v>
      </c>
      <c r="AM63" s="8" t="s">
        <v>66</v>
      </c>
      <c r="AN63" s="29" t="s">
        <v>66</v>
      </c>
    </row>
    <row r="64" spans="2:40">
      <c r="B64" s="55" t="s">
        <v>607</v>
      </c>
      <c r="C64" s="10" t="s">
        <v>313</v>
      </c>
      <c r="D64" s="10" t="s">
        <v>608</v>
      </c>
      <c r="E64" s="20">
        <v>2000</v>
      </c>
      <c r="F64" s="20">
        <v>1800</v>
      </c>
      <c r="G64" s="10" t="s">
        <v>609</v>
      </c>
      <c r="H64" s="10" t="s">
        <v>232</v>
      </c>
      <c r="I64" s="10">
        <v>1400</v>
      </c>
      <c r="J64" s="20" t="s">
        <v>610</v>
      </c>
      <c r="K64" s="20" t="s">
        <v>60</v>
      </c>
      <c r="L64" s="10" t="s">
        <v>611</v>
      </c>
      <c r="M64" s="20" t="s">
        <v>612</v>
      </c>
      <c r="N64" s="20">
        <v>10</v>
      </c>
      <c r="O64" s="8" t="s">
        <v>66</v>
      </c>
      <c r="P64" s="8" t="s">
        <v>66</v>
      </c>
      <c r="Q64" s="20">
        <v>48400</v>
      </c>
      <c r="R64" s="12" t="s">
        <v>477</v>
      </c>
      <c r="S64" s="10" t="s">
        <v>478</v>
      </c>
      <c r="T64" s="10" t="s">
        <v>562</v>
      </c>
      <c r="U64" s="10">
        <v>55</v>
      </c>
      <c r="V64" s="20" t="s">
        <v>210</v>
      </c>
      <c r="W64" s="10">
        <v>21</v>
      </c>
      <c r="X64" s="10" t="s">
        <v>261</v>
      </c>
      <c r="Y64" s="15">
        <v>1285</v>
      </c>
      <c r="Z64" s="20" t="s">
        <v>613</v>
      </c>
      <c r="AA64" s="10">
        <v>60</v>
      </c>
      <c r="AB64" s="20">
        <v>450</v>
      </c>
      <c r="AC64" s="20">
        <v>310</v>
      </c>
      <c r="AD64" s="10">
        <v>310</v>
      </c>
      <c r="AE64" s="20" t="s">
        <v>614</v>
      </c>
      <c r="AF64" s="10">
        <v>45</v>
      </c>
      <c r="AG64" s="10" t="s">
        <v>564</v>
      </c>
      <c r="AH64" s="20">
        <v>69</v>
      </c>
      <c r="AI64" s="10">
        <v>88</v>
      </c>
      <c r="AJ64" s="20" t="s">
        <v>615</v>
      </c>
      <c r="AK64" s="20">
        <v>5</v>
      </c>
      <c r="AL64" s="20" t="s">
        <v>516</v>
      </c>
      <c r="AM64" s="8" t="s">
        <v>66</v>
      </c>
      <c r="AN64" s="29" t="s">
        <v>66</v>
      </c>
    </row>
    <row r="65" spans="2:40">
      <c r="B65" s="56"/>
      <c r="C65" s="10" t="s">
        <v>325</v>
      </c>
      <c r="D65" s="10" t="s">
        <v>616</v>
      </c>
      <c r="E65" s="20">
        <v>2000</v>
      </c>
      <c r="F65" s="20">
        <v>1800</v>
      </c>
      <c r="G65" s="10" t="s">
        <v>609</v>
      </c>
      <c r="H65" s="10" t="s">
        <v>232</v>
      </c>
      <c r="I65" s="10">
        <v>1400</v>
      </c>
      <c r="J65" s="20" t="s">
        <v>617</v>
      </c>
      <c r="K65" s="20" t="s">
        <v>618</v>
      </c>
      <c r="L65" s="10" t="s">
        <v>129</v>
      </c>
      <c r="M65" s="20" t="s">
        <v>130</v>
      </c>
      <c r="N65" s="20" t="s">
        <v>560</v>
      </c>
      <c r="O65" s="20">
        <v>20</v>
      </c>
      <c r="P65" s="20">
        <v>46</v>
      </c>
      <c r="Q65" s="20">
        <v>81480</v>
      </c>
      <c r="R65" s="12" t="s">
        <v>477</v>
      </c>
      <c r="S65" s="10" t="s">
        <v>478</v>
      </c>
      <c r="T65" s="10" t="s">
        <v>562</v>
      </c>
      <c r="U65" s="10">
        <v>55</v>
      </c>
      <c r="V65" s="20" t="s">
        <v>210</v>
      </c>
      <c r="W65" s="10">
        <v>21</v>
      </c>
      <c r="X65" s="10" t="s">
        <v>261</v>
      </c>
      <c r="Y65" s="15">
        <v>1285</v>
      </c>
      <c r="Z65" s="20" t="s">
        <v>619</v>
      </c>
      <c r="AA65" s="10">
        <v>60</v>
      </c>
      <c r="AB65" s="20">
        <v>620</v>
      </c>
      <c r="AC65" s="20">
        <v>420</v>
      </c>
      <c r="AD65" s="10">
        <v>420</v>
      </c>
      <c r="AE65" s="20" t="s">
        <v>620</v>
      </c>
      <c r="AF65" s="10">
        <v>52</v>
      </c>
      <c r="AG65" s="10" t="s">
        <v>564</v>
      </c>
      <c r="AH65" s="20">
        <v>68</v>
      </c>
      <c r="AI65" s="10">
        <v>100</v>
      </c>
      <c r="AJ65" s="20" t="s">
        <v>621</v>
      </c>
      <c r="AK65" s="20">
        <v>6</v>
      </c>
      <c r="AL65" s="20" t="s">
        <v>328</v>
      </c>
      <c r="AM65" s="8" t="s">
        <v>66</v>
      </c>
      <c r="AN65" s="29" t="s">
        <v>66</v>
      </c>
    </row>
    <row r="66" spans="2:40">
      <c r="B66" s="56"/>
      <c r="C66" s="10" t="s">
        <v>384</v>
      </c>
      <c r="D66" s="10" t="s">
        <v>622</v>
      </c>
      <c r="E66" s="20">
        <v>2000</v>
      </c>
      <c r="F66" s="20">
        <v>1800</v>
      </c>
      <c r="G66" s="10" t="s">
        <v>609</v>
      </c>
      <c r="H66" s="10" t="s">
        <v>232</v>
      </c>
      <c r="I66" s="10">
        <v>1400</v>
      </c>
      <c r="J66" s="20" t="s">
        <v>623</v>
      </c>
      <c r="K66" s="20" t="s">
        <v>624</v>
      </c>
      <c r="L66" s="10" t="s">
        <v>344</v>
      </c>
      <c r="M66" s="20" t="s">
        <v>625</v>
      </c>
      <c r="N66" s="20" t="s">
        <v>626</v>
      </c>
      <c r="O66" s="20">
        <v>20</v>
      </c>
      <c r="P66" s="20">
        <v>46</v>
      </c>
      <c r="Q66" s="20">
        <v>108000</v>
      </c>
      <c r="R66" s="12" t="s">
        <v>477</v>
      </c>
      <c r="S66" s="10" t="s">
        <v>478</v>
      </c>
      <c r="T66" s="10" t="s">
        <v>562</v>
      </c>
      <c r="U66" s="10">
        <v>55</v>
      </c>
      <c r="V66" s="20" t="s">
        <v>210</v>
      </c>
      <c r="W66" s="10">
        <v>21</v>
      </c>
      <c r="X66" s="10" t="s">
        <v>261</v>
      </c>
      <c r="Y66" s="15">
        <v>1285</v>
      </c>
      <c r="Z66" s="20" t="s">
        <v>627</v>
      </c>
      <c r="AA66" s="10">
        <v>60</v>
      </c>
      <c r="AB66" s="16">
        <v>690</v>
      </c>
      <c r="AC66" s="16">
        <v>470</v>
      </c>
      <c r="AD66" s="15">
        <v>470</v>
      </c>
      <c r="AE66" s="20" t="s">
        <v>560</v>
      </c>
      <c r="AF66" s="10">
        <v>57</v>
      </c>
      <c r="AG66" s="10" t="s">
        <v>564</v>
      </c>
      <c r="AH66" s="20">
        <v>68</v>
      </c>
      <c r="AI66" s="10">
        <v>108</v>
      </c>
      <c r="AJ66" s="20" t="s">
        <v>628</v>
      </c>
      <c r="AK66" s="20">
        <v>6</v>
      </c>
      <c r="AL66" s="20" t="s">
        <v>328</v>
      </c>
      <c r="AM66" s="8" t="s">
        <v>66</v>
      </c>
      <c r="AN66" s="29" t="s">
        <v>66</v>
      </c>
    </row>
    <row r="67" spans="2:40">
      <c r="B67" s="56"/>
      <c r="C67" s="10" t="s">
        <v>629</v>
      </c>
      <c r="D67" s="10" t="s">
        <v>630</v>
      </c>
      <c r="E67" s="20">
        <v>2000</v>
      </c>
      <c r="F67" s="20">
        <v>1800</v>
      </c>
      <c r="G67" s="10" t="s">
        <v>609</v>
      </c>
      <c r="H67" s="10" t="s">
        <v>232</v>
      </c>
      <c r="I67" s="10">
        <v>1400</v>
      </c>
      <c r="J67" s="20" t="s">
        <v>617</v>
      </c>
      <c r="K67" s="20" t="s">
        <v>618</v>
      </c>
      <c r="L67" s="10" t="s">
        <v>129</v>
      </c>
      <c r="M67" s="20" t="s">
        <v>130</v>
      </c>
      <c r="N67" s="20" t="s">
        <v>560</v>
      </c>
      <c r="O67" s="20">
        <v>20</v>
      </c>
      <c r="P67" s="20">
        <v>46</v>
      </c>
      <c r="Q67" s="20">
        <v>81480</v>
      </c>
      <c r="R67" s="12" t="s">
        <v>477</v>
      </c>
      <c r="S67" s="10" t="s">
        <v>478</v>
      </c>
      <c r="T67" s="10" t="s">
        <v>562</v>
      </c>
      <c r="U67" s="10">
        <v>55</v>
      </c>
      <c r="V67" s="20" t="s">
        <v>210</v>
      </c>
      <c r="W67" s="10">
        <v>21</v>
      </c>
      <c r="X67" s="10" t="s">
        <v>261</v>
      </c>
      <c r="Y67" s="15">
        <v>1285</v>
      </c>
      <c r="Z67" s="20" t="s">
        <v>619</v>
      </c>
      <c r="AA67" s="10">
        <v>60</v>
      </c>
      <c r="AB67" s="16">
        <v>520</v>
      </c>
      <c r="AC67" s="16">
        <v>360</v>
      </c>
      <c r="AD67" s="15">
        <v>360</v>
      </c>
      <c r="AE67" s="20" t="s">
        <v>631</v>
      </c>
      <c r="AF67" s="10">
        <v>50</v>
      </c>
      <c r="AG67" s="10" t="s">
        <v>564</v>
      </c>
      <c r="AH67" s="20">
        <v>69</v>
      </c>
      <c r="AI67" s="10">
        <v>95</v>
      </c>
      <c r="AJ67" s="20" t="s">
        <v>632</v>
      </c>
      <c r="AK67" s="20">
        <v>5</v>
      </c>
      <c r="AL67" s="20" t="s">
        <v>328</v>
      </c>
      <c r="AM67" s="8" t="s">
        <v>66</v>
      </c>
      <c r="AN67" s="29" t="s">
        <v>66</v>
      </c>
    </row>
    <row r="68" spans="2:40">
      <c r="B68" s="56"/>
      <c r="C68" s="15" t="s">
        <v>633</v>
      </c>
      <c r="D68" s="10" t="s">
        <v>634</v>
      </c>
      <c r="E68" s="20">
        <v>2000</v>
      </c>
      <c r="F68" s="20">
        <v>1800</v>
      </c>
      <c r="G68" s="10" t="s">
        <v>609</v>
      </c>
      <c r="H68" s="10" t="s">
        <v>232</v>
      </c>
      <c r="I68" s="10">
        <v>1400</v>
      </c>
      <c r="J68" s="20" t="s">
        <v>623</v>
      </c>
      <c r="K68" s="20" t="s">
        <v>624</v>
      </c>
      <c r="L68" s="10" t="s">
        <v>344</v>
      </c>
      <c r="M68" s="20" t="s">
        <v>625</v>
      </c>
      <c r="N68" s="20" t="s">
        <v>626</v>
      </c>
      <c r="O68" s="20">
        <v>20</v>
      </c>
      <c r="P68" s="20">
        <v>46</v>
      </c>
      <c r="Q68" s="20">
        <v>108000</v>
      </c>
      <c r="R68" s="12" t="s">
        <v>477</v>
      </c>
      <c r="S68" s="10" t="s">
        <v>478</v>
      </c>
      <c r="T68" s="10" t="s">
        <v>562</v>
      </c>
      <c r="U68" s="10">
        <v>55</v>
      </c>
      <c r="V68" s="20" t="s">
        <v>210</v>
      </c>
      <c r="W68" s="10">
        <v>21</v>
      </c>
      <c r="X68" s="10" t="s">
        <v>261</v>
      </c>
      <c r="Y68" s="15">
        <v>1285</v>
      </c>
      <c r="Z68" s="20" t="s">
        <v>627</v>
      </c>
      <c r="AA68" s="10">
        <v>60</v>
      </c>
      <c r="AB68" s="16">
        <v>580</v>
      </c>
      <c r="AC68" s="16">
        <v>400</v>
      </c>
      <c r="AD68" s="15">
        <v>400</v>
      </c>
      <c r="AE68" s="20" t="s">
        <v>93</v>
      </c>
      <c r="AF68" s="10">
        <v>54</v>
      </c>
      <c r="AG68" s="10" t="s">
        <v>564</v>
      </c>
      <c r="AH68" s="20">
        <v>68</v>
      </c>
      <c r="AI68" s="10">
        <v>103</v>
      </c>
      <c r="AJ68" s="20" t="s">
        <v>621</v>
      </c>
      <c r="AK68" s="20">
        <v>5</v>
      </c>
      <c r="AL68" s="20" t="s">
        <v>320</v>
      </c>
      <c r="AM68" s="8" t="s">
        <v>66</v>
      </c>
      <c r="AN68" s="29" t="s">
        <v>66</v>
      </c>
    </row>
    <row r="69" spans="2:40">
      <c r="B69" s="55" t="s">
        <v>635</v>
      </c>
      <c r="C69" s="15" t="s">
        <v>313</v>
      </c>
      <c r="D69" s="10" t="s">
        <v>636</v>
      </c>
      <c r="E69" s="20">
        <v>500</v>
      </c>
      <c r="F69" s="20">
        <v>400</v>
      </c>
      <c r="G69" s="10" t="s">
        <v>637</v>
      </c>
      <c r="H69" s="10" t="s">
        <v>373</v>
      </c>
      <c r="I69" s="10">
        <v>150</v>
      </c>
      <c r="J69" s="20" t="s">
        <v>638</v>
      </c>
      <c r="K69" s="20" t="s">
        <v>639</v>
      </c>
      <c r="L69" s="10" t="s">
        <v>640</v>
      </c>
      <c r="M69" s="20">
        <v>83</v>
      </c>
      <c r="N69" s="20" t="s">
        <v>589</v>
      </c>
      <c r="O69" s="20">
        <v>10</v>
      </c>
      <c r="P69" s="20">
        <v>35</v>
      </c>
      <c r="Q69" s="20">
        <v>35000</v>
      </c>
      <c r="R69" s="34">
        <v>28000</v>
      </c>
      <c r="S69" s="20">
        <v>320</v>
      </c>
      <c r="T69" s="11">
        <v>60</v>
      </c>
      <c r="U69" s="20">
        <v>37</v>
      </c>
      <c r="V69" s="16" t="s">
        <v>53</v>
      </c>
      <c r="W69" s="10">
        <v>21</v>
      </c>
      <c r="X69" s="20" t="s">
        <v>320</v>
      </c>
      <c r="Y69" s="10">
        <v>2500</v>
      </c>
      <c r="Z69" s="20" t="s">
        <v>234</v>
      </c>
      <c r="AA69" s="10">
        <v>100</v>
      </c>
      <c r="AB69" s="20">
        <v>285</v>
      </c>
      <c r="AC69" s="20">
        <v>285</v>
      </c>
      <c r="AD69" s="10">
        <v>285</v>
      </c>
      <c r="AE69" s="20" t="s">
        <v>320</v>
      </c>
      <c r="AF69" s="10">
        <v>65</v>
      </c>
      <c r="AG69" s="10">
        <v>120</v>
      </c>
      <c r="AH69" s="20">
        <v>63</v>
      </c>
      <c r="AI69" s="10">
        <v>68</v>
      </c>
      <c r="AJ69" s="20" t="s">
        <v>432</v>
      </c>
      <c r="AK69" s="20" t="s">
        <v>641</v>
      </c>
      <c r="AL69" s="20" t="s">
        <v>159</v>
      </c>
      <c r="AM69" s="20">
        <v>180</v>
      </c>
      <c r="AN69" s="27">
        <v>3600</v>
      </c>
    </row>
    <row r="70" spans="2:40">
      <c r="B70" s="56"/>
      <c r="C70" s="15" t="s">
        <v>325</v>
      </c>
      <c r="D70" s="10" t="s">
        <v>642</v>
      </c>
      <c r="E70" s="20">
        <v>500</v>
      </c>
      <c r="F70" s="20">
        <v>400</v>
      </c>
      <c r="G70" s="10" t="s">
        <v>637</v>
      </c>
      <c r="H70" s="10" t="s">
        <v>373</v>
      </c>
      <c r="I70" s="10">
        <v>150</v>
      </c>
      <c r="J70" s="20" t="s">
        <v>643</v>
      </c>
      <c r="K70" s="20" t="s">
        <v>644</v>
      </c>
      <c r="L70" s="10" t="s">
        <v>645</v>
      </c>
      <c r="M70" s="20">
        <v>95</v>
      </c>
      <c r="N70" s="20" t="s">
        <v>646</v>
      </c>
      <c r="O70" s="20">
        <v>11</v>
      </c>
      <c r="P70" s="20">
        <v>38</v>
      </c>
      <c r="Q70" s="20">
        <v>38000</v>
      </c>
      <c r="R70" s="20">
        <v>30000</v>
      </c>
      <c r="S70" s="17">
        <v>340</v>
      </c>
      <c r="T70" s="10">
        <v>70</v>
      </c>
      <c r="U70" s="20">
        <v>37</v>
      </c>
      <c r="V70" s="16" t="s">
        <v>53</v>
      </c>
      <c r="W70" s="10">
        <v>21</v>
      </c>
      <c r="X70" s="20" t="s">
        <v>285</v>
      </c>
      <c r="Y70" s="10">
        <v>2600</v>
      </c>
      <c r="Z70" s="20" t="s">
        <v>374</v>
      </c>
      <c r="AA70" s="10">
        <v>100</v>
      </c>
      <c r="AB70" s="20">
        <v>338</v>
      </c>
      <c r="AC70" s="20">
        <v>338</v>
      </c>
      <c r="AD70" s="10">
        <v>338</v>
      </c>
      <c r="AE70" s="20" t="s">
        <v>383</v>
      </c>
      <c r="AF70" s="10">
        <v>74</v>
      </c>
      <c r="AG70" s="10">
        <v>130</v>
      </c>
      <c r="AH70" s="20">
        <v>64</v>
      </c>
      <c r="AI70" s="10">
        <v>76</v>
      </c>
      <c r="AJ70" s="20" t="s">
        <v>647</v>
      </c>
      <c r="AK70" s="20" t="s">
        <v>503</v>
      </c>
      <c r="AL70" s="20" t="s">
        <v>267</v>
      </c>
      <c r="AM70" s="20">
        <v>160</v>
      </c>
      <c r="AN70" s="27">
        <v>3700</v>
      </c>
    </row>
    <row r="71" spans="2:40">
      <c r="B71" s="60"/>
      <c r="C71" s="47" t="s">
        <v>384</v>
      </c>
      <c r="D71" s="18" t="s">
        <v>648</v>
      </c>
      <c r="E71" s="38">
        <v>500</v>
      </c>
      <c r="F71" s="38">
        <v>400</v>
      </c>
      <c r="G71" s="18" t="s">
        <v>637</v>
      </c>
      <c r="H71" s="18" t="s">
        <v>373</v>
      </c>
      <c r="I71" s="18">
        <v>150</v>
      </c>
      <c r="J71" s="38" t="s">
        <v>233</v>
      </c>
      <c r="K71" s="38" t="s">
        <v>62</v>
      </c>
      <c r="L71" s="18" t="s">
        <v>324</v>
      </c>
      <c r="M71" s="38">
        <v>78</v>
      </c>
      <c r="N71" s="38" t="s">
        <v>582</v>
      </c>
      <c r="O71" s="38">
        <v>9</v>
      </c>
      <c r="P71" s="38">
        <v>32</v>
      </c>
      <c r="Q71" s="38">
        <v>32000</v>
      </c>
      <c r="R71" s="38">
        <v>30000</v>
      </c>
      <c r="S71" s="38">
        <v>310</v>
      </c>
      <c r="T71" s="18">
        <v>55</v>
      </c>
      <c r="U71" s="38">
        <v>37</v>
      </c>
      <c r="V71" s="39" t="s">
        <v>53</v>
      </c>
      <c r="W71" s="18">
        <v>21</v>
      </c>
      <c r="X71" s="38" t="s">
        <v>328</v>
      </c>
      <c r="Y71" s="18">
        <v>2400</v>
      </c>
      <c r="Z71" s="38" t="s">
        <v>246</v>
      </c>
      <c r="AA71" s="18">
        <v>100</v>
      </c>
      <c r="AB71" s="38">
        <v>149</v>
      </c>
      <c r="AC71" s="38">
        <v>149</v>
      </c>
      <c r="AD71" s="18">
        <v>149</v>
      </c>
      <c r="AE71" s="38" t="s">
        <v>369</v>
      </c>
      <c r="AF71" s="18">
        <v>55</v>
      </c>
      <c r="AG71" s="18">
        <v>110</v>
      </c>
      <c r="AH71" s="38">
        <v>60</v>
      </c>
      <c r="AI71" s="18">
        <v>52</v>
      </c>
      <c r="AJ71" s="38" t="s">
        <v>649</v>
      </c>
      <c r="AK71" s="38" t="s">
        <v>285</v>
      </c>
      <c r="AL71" s="38" t="s">
        <v>285</v>
      </c>
      <c r="AM71" s="38">
        <v>210</v>
      </c>
      <c r="AN71" s="40">
        <v>3500</v>
      </c>
    </row>
    <row r="72" spans="2:40" ht="15" customHeight="1">
      <c r="B72" s="61" t="s">
        <v>650</v>
      </c>
      <c r="C72" s="15">
        <v>1</v>
      </c>
      <c r="D72" s="15" t="s">
        <v>651</v>
      </c>
      <c r="E72" s="16">
        <v>500</v>
      </c>
      <c r="F72" s="16">
        <v>400</v>
      </c>
      <c r="G72" s="15" t="s">
        <v>652</v>
      </c>
      <c r="H72" s="15" t="s">
        <v>653</v>
      </c>
      <c r="I72" s="15">
        <v>150</v>
      </c>
      <c r="J72" s="16" t="s">
        <v>654</v>
      </c>
      <c r="K72" s="16">
        <v>204</v>
      </c>
      <c r="L72" s="15" t="s">
        <v>655</v>
      </c>
      <c r="M72" s="16">
        <v>196</v>
      </c>
      <c r="N72" s="16" t="s">
        <v>290</v>
      </c>
      <c r="O72" s="16">
        <v>25</v>
      </c>
      <c r="P72" s="16">
        <v>55</v>
      </c>
      <c r="Q72" s="15">
        <v>80000</v>
      </c>
      <c r="R72" s="15">
        <v>10000</v>
      </c>
      <c r="S72" s="16">
        <v>200</v>
      </c>
      <c r="T72" s="15">
        <v>250</v>
      </c>
      <c r="U72" s="16">
        <v>37</v>
      </c>
      <c r="V72" s="16" t="s">
        <v>53</v>
      </c>
      <c r="W72" s="15">
        <v>30</v>
      </c>
      <c r="X72" s="16" t="s">
        <v>117</v>
      </c>
      <c r="Y72" s="15">
        <v>4000</v>
      </c>
      <c r="Z72" s="16" t="s">
        <v>291</v>
      </c>
      <c r="AA72" s="15">
        <v>60</v>
      </c>
      <c r="AB72" s="16">
        <v>480</v>
      </c>
      <c r="AC72" s="15" t="s">
        <v>656</v>
      </c>
      <c r="AD72" s="15" t="s">
        <v>656</v>
      </c>
      <c r="AE72" s="15">
        <v>112</v>
      </c>
      <c r="AF72" s="15" t="s">
        <v>657</v>
      </c>
      <c r="AG72" s="15">
        <v>700</v>
      </c>
      <c r="AH72" s="15">
        <v>65</v>
      </c>
      <c r="AI72" s="15" t="s">
        <v>658</v>
      </c>
      <c r="AJ72" s="15" t="s">
        <v>659</v>
      </c>
      <c r="AK72" s="15" t="s">
        <v>105</v>
      </c>
      <c r="AL72" s="16" t="s">
        <v>660</v>
      </c>
      <c r="AM72" s="15">
        <v>180</v>
      </c>
      <c r="AN72" s="16" t="s">
        <v>661</v>
      </c>
    </row>
    <row r="73" spans="2:40">
      <c r="B73" s="61"/>
      <c r="C73" s="15">
        <v>2</v>
      </c>
      <c r="D73" s="15" t="s">
        <v>662</v>
      </c>
      <c r="E73" s="16">
        <v>500</v>
      </c>
      <c r="F73" s="16">
        <v>400</v>
      </c>
      <c r="G73" s="15" t="s">
        <v>652</v>
      </c>
      <c r="H73" s="15" t="s">
        <v>653</v>
      </c>
      <c r="I73" s="15">
        <v>150</v>
      </c>
      <c r="J73" s="16" t="s">
        <v>654</v>
      </c>
      <c r="K73" s="16">
        <v>204</v>
      </c>
      <c r="L73" s="15" t="s">
        <v>655</v>
      </c>
      <c r="M73" s="16">
        <v>196</v>
      </c>
      <c r="N73" s="16" t="s">
        <v>290</v>
      </c>
      <c r="O73" s="16">
        <v>25</v>
      </c>
      <c r="P73" s="16">
        <v>55</v>
      </c>
      <c r="Q73" s="15">
        <v>80000</v>
      </c>
      <c r="R73" s="15">
        <v>10000</v>
      </c>
      <c r="S73" s="16">
        <v>200</v>
      </c>
      <c r="T73" s="15">
        <v>250</v>
      </c>
      <c r="U73" s="16">
        <v>37</v>
      </c>
      <c r="V73" s="16" t="s">
        <v>53</v>
      </c>
      <c r="W73" s="15">
        <v>30</v>
      </c>
      <c r="X73" s="16" t="s">
        <v>663</v>
      </c>
      <c r="Y73" s="15">
        <v>4000</v>
      </c>
      <c r="Z73" s="16" t="s">
        <v>291</v>
      </c>
      <c r="AA73" s="15">
        <v>60</v>
      </c>
      <c r="AB73" s="16">
        <v>480</v>
      </c>
      <c r="AC73" s="15" t="s">
        <v>664</v>
      </c>
      <c r="AD73" s="15" t="s">
        <v>664</v>
      </c>
      <c r="AE73" s="15">
        <v>111</v>
      </c>
      <c r="AF73" s="15" t="s">
        <v>665</v>
      </c>
      <c r="AG73" s="15">
        <v>700</v>
      </c>
      <c r="AH73" s="15">
        <v>65</v>
      </c>
      <c r="AI73" s="15" t="s">
        <v>666</v>
      </c>
      <c r="AJ73" s="15" t="s">
        <v>667</v>
      </c>
      <c r="AK73" s="15" t="s">
        <v>284</v>
      </c>
      <c r="AL73" s="16" t="s">
        <v>668</v>
      </c>
      <c r="AM73" s="15">
        <v>180</v>
      </c>
      <c r="AN73" s="16" t="s">
        <v>661</v>
      </c>
    </row>
    <row r="74" spans="2:40">
      <c r="B74" s="61"/>
      <c r="C74" s="15">
        <v>3</v>
      </c>
      <c r="D74" s="15" t="s">
        <v>669</v>
      </c>
      <c r="E74" s="16">
        <v>500</v>
      </c>
      <c r="F74" s="16">
        <v>400</v>
      </c>
      <c r="G74" s="15" t="s">
        <v>652</v>
      </c>
      <c r="H74" s="15" t="s">
        <v>653</v>
      </c>
      <c r="I74" s="15">
        <v>150</v>
      </c>
      <c r="J74" s="16" t="s">
        <v>654</v>
      </c>
      <c r="K74" s="16">
        <v>204</v>
      </c>
      <c r="L74" s="15" t="s">
        <v>655</v>
      </c>
      <c r="M74" s="16">
        <v>196</v>
      </c>
      <c r="N74" s="16" t="s">
        <v>290</v>
      </c>
      <c r="O74" s="16">
        <v>25</v>
      </c>
      <c r="P74" s="16">
        <v>55</v>
      </c>
      <c r="Q74" s="15">
        <v>80000</v>
      </c>
      <c r="R74" s="15">
        <v>10000</v>
      </c>
      <c r="S74" s="16">
        <v>200</v>
      </c>
      <c r="T74" s="15">
        <v>250</v>
      </c>
      <c r="U74" s="16">
        <v>37</v>
      </c>
      <c r="V74" s="16" t="s">
        <v>53</v>
      </c>
      <c r="W74" s="15">
        <v>30</v>
      </c>
      <c r="X74" s="16" t="s">
        <v>663</v>
      </c>
      <c r="Y74" s="15">
        <v>4000</v>
      </c>
      <c r="Z74" s="16" t="s">
        <v>291</v>
      </c>
      <c r="AA74" s="15">
        <v>60</v>
      </c>
      <c r="AB74" s="16">
        <v>485</v>
      </c>
      <c r="AC74" s="15" t="s">
        <v>670</v>
      </c>
      <c r="AD74" s="15" t="s">
        <v>670</v>
      </c>
      <c r="AE74" s="15">
        <v>110</v>
      </c>
      <c r="AF74" s="15" t="s">
        <v>671</v>
      </c>
      <c r="AG74" s="15">
        <v>710</v>
      </c>
      <c r="AH74" s="15">
        <v>65</v>
      </c>
      <c r="AI74" s="15" t="s">
        <v>672</v>
      </c>
      <c r="AJ74" s="15" t="s">
        <v>659</v>
      </c>
      <c r="AK74" s="15" t="s">
        <v>377</v>
      </c>
      <c r="AL74" s="16" t="s">
        <v>660</v>
      </c>
      <c r="AM74" s="15">
        <v>180</v>
      </c>
      <c r="AN74" s="16" t="s">
        <v>661</v>
      </c>
    </row>
    <row r="75" spans="2:40">
      <c r="B75" s="61"/>
      <c r="C75" s="15">
        <v>4</v>
      </c>
      <c r="D75" s="15" t="s">
        <v>673</v>
      </c>
      <c r="E75" s="16">
        <v>500</v>
      </c>
      <c r="F75" s="16">
        <v>400</v>
      </c>
      <c r="G75" s="15" t="s">
        <v>652</v>
      </c>
      <c r="H75" s="15" t="s">
        <v>653</v>
      </c>
      <c r="I75" s="15">
        <v>150</v>
      </c>
      <c r="J75" s="16" t="s">
        <v>654</v>
      </c>
      <c r="K75" s="16">
        <v>204</v>
      </c>
      <c r="L75" s="15" t="s">
        <v>655</v>
      </c>
      <c r="M75" s="16">
        <v>196</v>
      </c>
      <c r="N75" s="16" t="s">
        <v>290</v>
      </c>
      <c r="O75" s="16">
        <v>25</v>
      </c>
      <c r="P75" s="16">
        <v>55</v>
      </c>
      <c r="Q75" s="15">
        <v>80000</v>
      </c>
      <c r="R75" s="15">
        <v>10000</v>
      </c>
      <c r="S75" s="16">
        <v>200</v>
      </c>
      <c r="T75" s="15">
        <v>250</v>
      </c>
      <c r="U75" s="16">
        <v>37</v>
      </c>
      <c r="V75" s="16" t="s">
        <v>53</v>
      </c>
      <c r="W75" s="15">
        <v>30</v>
      </c>
      <c r="X75" s="16" t="s">
        <v>663</v>
      </c>
      <c r="Y75" s="15">
        <v>4000</v>
      </c>
      <c r="Z75" s="16" t="s">
        <v>291</v>
      </c>
      <c r="AA75" s="15">
        <v>60</v>
      </c>
      <c r="AB75" s="16">
        <v>530</v>
      </c>
      <c r="AC75" s="15" t="s">
        <v>674</v>
      </c>
      <c r="AD75" s="15" t="s">
        <v>674</v>
      </c>
      <c r="AE75" s="15">
        <v>105</v>
      </c>
      <c r="AF75" s="15" t="s">
        <v>675</v>
      </c>
      <c r="AG75" s="15">
        <v>710</v>
      </c>
      <c r="AH75" s="15">
        <v>65</v>
      </c>
      <c r="AI75" s="15" t="s">
        <v>676</v>
      </c>
      <c r="AJ75" s="15" t="s">
        <v>677</v>
      </c>
      <c r="AK75" s="15" t="s">
        <v>678</v>
      </c>
      <c r="AL75" s="16" t="s">
        <v>679</v>
      </c>
      <c r="AM75" s="15">
        <v>180</v>
      </c>
      <c r="AN75" s="16" t="s">
        <v>680</v>
      </c>
    </row>
    <row r="76" spans="2:40">
      <c r="B76" s="61"/>
      <c r="C76" s="15">
        <v>5</v>
      </c>
      <c r="D76" s="15" t="s">
        <v>681</v>
      </c>
      <c r="E76" s="16">
        <v>500</v>
      </c>
      <c r="F76" s="16">
        <v>400</v>
      </c>
      <c r="G76" s="15" t="s">
        <v>652</v>
      </c>
      <c r="H76" s="15" t="s">
        <v>653</v>
      </c>
      <c r="I76" s="15">
        <v>150</v>
      </c>
      <c r="J76" s="16" t="s">
        <v>654</v>
      </c>
      <c r="K76" s="16">
        <v>204</v>
      </c>
      <c r="L76" s="15" t="s">
        <v>655</v>
      </c>
      <c r="M76" s="16">
        <v>196</v>
      </c>
      <c r="N76" s="16" t="s">
        <v>290</v>
      </c>
      <c r="O76" s="16">
        <v>25</v>
      </c>
      <c r="P76" s="16">
        <v>55</v>
      </c>
      <c r="Q76" s="15">
        <v>80000</v>
      </c>
      <c r="R76" s="15">
        <v>10000</v>
      </c>
      <c r="S76" s="16">
        <v>200</v>
      </c>
      <c r="T76" s="15">
        <v>250</v>
      </c>
      <c r="U76" s="16">
        <v>37</v>
      </c>
      <c r="V76" s="16" t="s">
        <v>53</v>
      </c>
      <c r="W76" s="15">
        <v>30</v>
      </c>
      <c r="X76" s="16" t="s">
        <v>663</v>
      </c>
      <c r="Y76" s="15">
        <v>4000</v>
      </c>
      <c r="Z76" s="16" t="s">
        <v>291</v>
      </c>
      <c r="AA76" s="15">
        <v>60</v>
      </c>
      <c r="AB76" s="16">
        <v>500</v>
      </c>
      <c r="AC76" s="15" t="s">
        <v>682</v>
      </c>
      <c r="AD76" s="15" t="s">
        <v>682</v>
      </c>
      <c r="AE76" s="15">
        <v>108</v>
      </c>
      <c r="AF76" s="15" t="s">
        <v>683</v>
      </c>
      <c r="AG76" s="15">
        <v>710</v>
      </c>
      <c r="AH76" s="15">
        <v>65</v>
      </c>
      <c r="AI76" s="15" t="s">
        <v>684</v>
      </c>
      <c r="AJ76" s="15" t="s">
        <v>685</v>
      </c>
      <c r="AK76" s="15" t="s">
        <v>319</v>
      </c>
      <c r="AL76" s="16" t="s">
        <v>686</v>
      </c>
      <c r="AM76" s="15">
        <v>180</v>
      </c>
      <c r="AN76" s="16" t="s">
        <v>661</v>
      </c>
    </row>
    <row r="77" spans="2:40">
      <c r="B77" s="61"/>
      <c r="C77" s="15">
        <v>6</v>
      </c>
      <c r="D77" s="15" t="s">
        <v>687</v>
      </c>
      <c r="E77" s="16">
        <v>500</v>
      </c>
      <c r="F77" s="16">
        <v>400</v>
      </c>
      <c r="G77" s="15" t="s">
        <v>652</v>
      </c>
      <c r="H77" s="15" t="s">
        <v>653</v>
      </c>
      <c r="I77" s="15">
        <v>150</v>
      </c>
      <c r="J77" s="16" t="s">
        <v>654</v>
      </c>
      <c r="K77" s="16">
        <v>204</v>
      </c>
      <c r="L77" s="15" t="s">
        <v>655</v>
      </c>
      <c r="M77" s="16">
        <v>196</v>
      </c>
      <c r="N77" s="16" t="s">
        <v>290</v>
      </c>
      <c r="O77" s="16">
        <v>25</v>
      </c>
      <c r="P77" s="16">
        <v>55</v>
      </c>
      <c r="Q77" s="15">
        <v>80000</v>
      </c>
      <c r="R77" s="15">
        <v>10000</v>
      </c>
      <c r="S77" s="16">
        <v>200</v>
      </c>
      <c r="T77" s="15">
        <v>250</v>
      </c>
      <c r="U77" s="16">
        <v>37</v>
      </c>
      <c r="V77" s="16" t="s">
        <v>53</v>
      </c>
      <c r="W77" s="15">
        <v>30</v>
      </c>
      <c r="X77" s="16" t="s">
        <v>663</v>
      </c>
      <c r="Y77" s="15">
        <v>4000</v>
      </c>
      <c r="Z77" s="16" t="s">
        <v>291</v>
      </c>
      <c r="AA77" s="15">
        <v>60</v>
      </c>
      <c r="AB77" s="16">
        <v>480</v>
      </c>
      <c r="AC77" s="15" t="s">
        <v>688</v>
      </c>
      <c r="AD77" s="15" t="s">
        <v>688</v>
      </c>
      <c r="AE77" s="15">
        <v>112</v>
      </c>
      <c r="AF77" s="15" t="s">
        <v>657</v>
      </c>
      <c r="AG77" s="15">
        <v>700</v>
      </c>
      <c r="AH77" s="15">
        <v>65</v>
      </c>
      <c r="AI77" s="15" t="s">
        <v>188</v>
      </c>
      <c r="AJ77" s="15" t="s">
        <v>689</v>
      </c>
      <c r="AK77" s="15" t="s">
        <v>158</v>
      </c>
      <c r="AL77" s="16" t="s">
        <v>690</v>
      </c>
      <c r="AM77" s="15">
        <v>180</v>
      </c>
      <c r="AN77" s="16" t="s">
        <v>661</v>
      </c>
    </row>
    <row r="78" spans="2:40">
      <c r="B78" s="61"/>
      <c r="C78" s="15">
        <v>7</v>
      </c>
      <c r="D78" s="15" t="s">
        <v>691</v>
      </c>
      <c r="E78" s="16">
        <v>500</v>
      </c>
      <c r="F78" s="16">
        <v>400</v>
      </c>
      <c r="G78" s="15" t="s">
        <v>652</v>
      </c>
      <c r="H78" s="15" t="s">
        <v>653</v>
      </c>
      <c r="I78" s="15">
        <v>150</v>
      </c>
      <c r="J78" s="16" t="s">
        <v>654</v>
      </c>
      <c r="K78" s="16">
        <v>204</v>
      </c>
      <c r="L78" s="15" t="s">
        <v>655</v>
      </c>
      <c r="M78" s="16">
        <v>196</v>
      </c>
      <c r="N78" s="16" t="s">
        <v>290</v>
      </c>
      <c r="O78" s="16">
        <v>25</v>
      </c>
      <c r="P78" s="16">
        <v>55</v>
      </c>
      <c r="Q78" s="15">
        <v>80000</v>
      </c>
      <c r="R78" s="15">
        <v>10000</v>
      </c>
      <c r="S78" s="16">
        <v>200</v>
      </c>
      <c r="T78" s="15">
        <v>250</v>
      </c>
      <c r="U78" s="16">
        <v>37</v>
      </c>
      <c r="V78" s="16" t="s">
        <v>53</v>
      </c>
      <c r="W78" s="15">
        <v>30</v>
      </c>
      <c r="X78" s="16" t="s">
        <v>663</v>
      </c>
      <c r="Y78" s="15">
        <v>4000</v>
      </c>
      <c r="Z78" s="16" t="s">
        <v>291</v>
      </c>
      <c r="AA78" s="15">
        <v>60</v>
      </c>
      <c r="AB78" s="16">
        <v>465</v>
      </c>
      <c r="AC78" s="15" t="s">
        <v>692</v>
      </c>
      <c r="AD78" s="15" t="s">
        <v>692</v>
      </c>
      <c r="AE78" s="15">
        <v>114</v>
      </c>
      <c r="AF78" s="15" t="s">
        <v>693</v>
      </c>
      <c r="AG78" s="15">
        <v>700</v>
      </c>
      <c r="AH78" s="15">
        <v>65</v>
      </c>
      <c r="AI78" s="15" t="s">
        <v>694</v>
      </c>
      <c r="AJ78" s="15" t="s">
        <v>695</v>
      </c>
      <c r="AK78" s="15" t="s">
        <v>696</v>
      </c>
      <c r="AL78" s="16" t="s">
        <v>697</v>
      </c>
      <c r="AM78" s="15">
        <v>180</v>
      </c>
      <c r="AN78" s="16" t="s">
        <v>661</v>
      </c>
    </row>
    <row r="79" spans="2:40">
      <c r="B79" s="61"/>
      <c r="C79" s="15">
        <v>8</v>
      </c>
      <c r="D79" s="15" t="s">
        <v>698</v>
      </c>
      <c r="E79" s="16">
        <v>500</v>
      </c>
      <c r="F79" s="16">
        <v>400</v>
      </c>
      <c r="G79" s="15" t="s">
        <v>652</v>
      </c>
      <c r="H79" s="15" t="s">
        <v>653</v>
      </c>
      <c r="I79" s="15">
        <v>150</v>
      </c>
      <c r="J79" s="16" t="s">
        <v>654</v>
      </c>
      <c r="K79" s="16">
        <v>204</v>
      </c>
      <c r="L79" s="15" t="s">
        <v>655</v>
      </c>
      <c r="M79" s="16">
        <v>196</v>
      </c>
      <c r="N79" s="16" t="s">
        <v>290</v>
      </c>
      <c r="O79" s="16">
        <v>25</v>
      </c>
      <c r="P79" s="16">
        <v>55</v>
      </c>
      <c r="Q79" s="15">
        <v>80000</v>
      </c>
      <c r="R79" s="15">
        <v>10000</v>
      </c>
      <c r="S79" s="16">
        <v>200</v>
      </c>
      <c r="T79" s="15">
        <v>250</v>
      </c>
      <c r="U79" s="16">
        <v>37</v>
      </c>
      <c r="V79" s="16" t="s">
        <v>53</v>
      </c>
      <c r="W79" s="15">
        <v>30</v>
      </c>
      <c r="X79" s="16" t="s">
        <v>663</v>
      </c>
      <c r="Y79" s="15">
        <v>4000</v>
      </c>
      <c r="Z79" s="16" t="s">
        <v>291</v>
      </c>
      <c r="AA79" s="15">
        <v>60</v>
      </c>
      <c r="AB79" s="16">
        <v>450</v>
      </c>
      <c r="AC79" s="15" t="s">
        <v>699</v>
      </c>
      <c r="AD79" s="15" t="s">
        <v>699</v>
      </c>
      <c r="AE79" s="15">
        <v>116</v>
      </c>
      <c r="AF79" s="15" t="s">
        <v>700</v>
      </c>
      <c r="AG79" s="15">
        <v>700</v>
      </c>
      <c r="AH79" s="15">
        <v>65</v>
      </c>
      <c r="AI79" s="15" t="s">
        <v>701</v>
      </c>
      <c r="AJ79" s="15" t="s">
        <v>702</v>
      </c>
      <c r="AK79" s="15" t="s">
        <v>703</v>
      </c>
      <c r="AL79" s="16" t="s">
        <v>704</v>
      </c>
      <c r="AM79" s="15">
        <v>180</v>
      </c>
      <c r="AN79" s="16" t="s">
        <v>661</v>
      </c>
    </row>
    <row r="80" spans="2:40">
      <c r="B80" s="61"/>
      <c r="C80" s="15">
        <v>9</v>
      </c>
      <c r="D80" s="15" t="s">
        <v>705</v>
      </c>
      <c r="E80" s="16">
        <v>500</v>
      </c>
      <c r="F80" s="16">
        <v>400</v>
      </c>
      <c r="G80" s="15" t="s">
        <v>652</v>
      </c>
      <c r="H80" s="15" t="s">
        <v>653</v>
      </c>
      <c r="I80" s="15">
        <v>150</v>
      </c>
      <c r="J80" s="16" t="s">
        <v>654</v>
      </c>
      <c r="K80" s="16">
        <v>204</v>
      </c>
      <c r="L80" s="15" t="s">
        <v>655</v>
      </c>
      <c r="M80" s="16">
        <v>196</v>
      </c>
      <c r="N80" s="16" t="s">
        <v>290</v>
      </c>
      <c r="O80" s="16">
        <v>25</v>
      </c>
      <c r="P80" s="16">
        <v>55</v>
      </c>
      <c r="Q80" s="15">
        <v>80000</v>
      </c>
      <c r="R80" s="15">
        <v>10000</v>
      </c>
      <c r="S80" s="16">
        <v>200</v>
      </c>
      <c r="T80" s="15">
        <v>250</v>
      </c>
      <c r="U80" s="16">
        <v>37</v>
      </c>
      <c r="V80" s="16" t="s">
        <v>53</v>
      </c>
      <c r="W80" s="15">
        <v>30</v>
      </c>
      <c r="X80" s="16" t="s">
        <v>706</v>
      </c>
      <c r="Y80" s="15">
        <v>4000</v>
      </c>
      <c r="Z80" s="16" t="s">
        <v>291</v>
      </c>
      <c r="AA80" s="15">
        <v>60</v>
      </c>
      <c r="AB80" s="16">
        <v>470</v>
      </c>
      <c r="AC80" s="15" t="s">
        <v>707</v>
      </c>
      <c r="AD80" s="15" t="s">
        <v>707</v>
      </c>
      <c r="AE80" s="15">
        <v>113</v>
      </c>
      <c r="AF80" s="15" t="s">
        <v>708</v>
      </c>
      <c r="AG80" s="15">
        <v>730</v>
      </c>
      <c r="AH80" s="15">
        <v>64</v>
      </c>
      <c r="AI80" s="15" t="s">
        <v>709</v>
      </c>
      <c r="AJ80" s="15" t="s">
        <v>710</v>
      </c>
      <c r="AK80" s="15" t="s">
        <v>703</v>
      </c>
      <c r="AL80" s="16" t="s">
        <v>711</v>
      </c>
      <c r="AM80" s="15">
        <v>200</v>
      </c>
      <c r="AN80" s="16" t="s">
        <v>661</v>
      </c>
    </row>
    <row r="81" spans="2:40">
      <c r="B81" s="61"/>
      <c r="C81" s="15">
        <v>10</v>
      </c>
      <c r="D81" s="15" t="s">
        <v>712</v>
      </c>
      <c r="E81" s="16">
        <v>500</v>
      </c>
      <c r="F81" s="16">
        <v>400</v>
      </c>
      <c r="G81" s="15" t="s">
        <v>652</v>
      </c>
      <c r="H81" s="15" t="s">
        <v>653</v>
      </c>
      <c r="I81" s="15">
        <v>150</v>
      </c>
      <c r="J81" s="16" t="s">
        <v>654</v>
      </c>
      <c r="K81" s="16">
        <v>204</v>
      </c>
      <c r="L81" s="15" t="s">
        <v>655</v>
      </c>
      <c r="M81" s="16">
        <v>196</v>
      </c>
      <c r="N81" s="16" t="s">
        <v>290</v>
      </c>
      <c r="O81" s="16">
        <v>25</v>
      </c>
      <c r="P81" s="16">
        <v>55</v>
      </c>
      <c r="Q81" s="15">
        <v>80000</v>
      </c>
      <c r="R81" s="15">
        <v>10000</v>
      </c>
      <c r="S81" s="16">
        <v>200</v>
      </c>
      <c r="T81" s="15">
        <v>250</v>
      </c>
      <c r="U81" s="16">
        <v>37</v>
      </c>
      <c r="V81" s="16" t="s">
        <v>53</v>
      </c>
      <c r="W81" s="15">
        <v>30</v>
      </c>
      <c r="X81" s="16" t="s">
        <v>706</v>
      </c>
      <c r="Y81" s="15">
        <v>4000</v>
      </c>
      <c r="Z81" s="16" t="s">
        <v>291</v>
      </c>
      <c r="AA81" s="15">
        <v>60</v>
      </c>
      <c r="AB81" s="16">
        <v>455</v>
      </c>
      <c r="AC81" s="15" t="s">
        <v>713</v>
      </c>
      <c r="AD81" s="15" t="s">
        <v>713</v>
      </c>
      <c r="AE81" s="15">
        <v>115</v>
      </c>
      <c r="AF81" s="15" t="s">
        <v>708</v>
      </c>
      <c r="AG81" s="15">
        <v>730</v>
      </c>
      <c r="AH81" s="15">
        <v>64</v>
      </c>
      <c r="AI81" s="15" t="s">
        <v>714</v>
      </c>
      <c r="AJ81" s="15" t="s">
        <v>715</v>
      </c>
      <c r="AK81" s="15" t="s">
        <v>716</v>
      </c>
      <c r="AL81" s="16" t="s">
        <v>717</v>
      </c>
      <c r="AM81" s="15">
        <v>200</v>
      </c>
      <c r="AN81" s="16" t="s">
        <v>661</v>
      </c>
    </row>
    <row r="82" spans="2:40">
      <c r="B82" s="61"/>
      <c r="C82" s="15">
        <v>11</v>
      </c>
      <c r="D82" s="15" t="s">
        <v>718</v>
      </c>
      <c r="E82" s="16">
        <v>500</v>
      </c>
      <c r="F82" s="16">
        <v>400</v>
      </c>
      <c r="G82" s="15" t="s">
        <v>652</v>
      </c>
      <c r="H82" s="15" t="s">
        <v>653</v>
      </c>
      <c r="I82" s="15">
        <v>150</v>
      </c>
      <c r="J82" s="16" t="s">
        <v>654</v>
      </c>
      <c r="K82" s="16">
        <v>204</v>
      </c>
      <c r="L82" s="15" t="s">
        <v>655</v>
      </c>
      <c r="M82" s="16">
        <v>196</v>
      </c>
      <c r="N82" s="16" t="s">
        <v>290</v>
      </c>
      <c r="O82" s="16">
        <v>25</v>
      </c>
      <c r="P82" s="16">
        <v>55</v>
      </c>
      <c r="Q82" s="15">
        <v>80000</v>
      </c>
      <c r="R82" s="15">
        <v>10000</v>
      </c>
      <c r="S82" s="16">
        <v>200</v>
      </c>
      <c r="T82" s="15">
        <v>250</v>
      </c>
      <c r="U82" s="16">
        <v>37</v>
      </c>
      <c r="V82" s="16" t="s">
        <v>53</v>
      </c>
      <c r="W82" s="15">
        <v>30</v>
      </c>
      <c r="X82" s="16" t="s">
        <v>706</v>
      </c>
      <c r="Y82" s="15">
        <v>4000</v>
      </c>
      <c r="Z82" s="16" t="s">
        <v>291</v>
      </c>
      <c r="AA82" s="15">
        <v>60</v>
      </c>
      <c r="AB82" s="16">
        <v>440</v>
      </c>
      <c r="AC82" s="15" t="s">
        <v>719</v>
      </c>
      <c r="AD82" s="15" t="s">
        <v>719</v>
      </c>
      <c r="AE82" s="15">
        <v>116</v>
      </c>
      <c r="AF82" s="15" t="s">
        <v>720</v>
      </c>
      <c r="AG82" s="15">
        <v>730</v>
      </c>
      <c r="AH82" s="15">
        <v>64</v>
      </c>
      <c r="AI82" s="15" t="s">
        <v>721</v>
      </c>
      <c r="AJ82" s="15" t="s">
        <v>722</v>
      </c>
      <c r="AK82" s="15" t="s">
        <v>723</v>
      </c>
      <c r="AL82" s="16" t="s">
        <v>724</v>
      </c>
      <c r="AM82" s="15">
        <v>200</v>
      </c>
      <c r="AN82" s="16" t="s">
        <v>661</v>
      </c>
    </row>
    <row r="83" spans="2:40">
      <c r="B83" s="61"/>
      <c r="C83" s="15">
        <v>12</v>
      </c>
      <c r="D83" s="15" t="s">
        <v>725</v>
      </c>
      <c r="E83" s="16">
        <v>500</v>
      </c>
      <c r="F83" s="16">
        <v>400</v>
      </c>
      <c r="G83" s="15" t="s">
        <v>652</v>
      </c>
      <c r="H83" s="15" t="s">
        <v>653</v>
      </c>
      <c r="I83" s="15">
        <v>150</v>
      </c>
      <c r="J83" s="16" t="s">
        <v>654</v>
      </c>
      <c r="K83" s="16">
        <v>204</v>
      </c>
      <c r="L83" s="15" t="s">
        <v>655</v>
      </c>
      <c r="M83" s="16">
        <v>196</v>
      </c>
      <c r="N83" s="16" t="s">
        <v>290</v>
      </c>
      <c r="O83" s="16">
        <v>25</v>
      </c>
      <c r="P83" s="16">
        <v>55</v>
      </c>
      <c r="Q83" s="15">
        <v>80000</v>
      </c>
      <c r="R83" s="15">
        <v>10000</v>
      </c>
      <c r="S83" s="16">
        <v>200</v>
      </c>
      <c r="T83" s="15">
        <v>250</v>
      </c>
      <c r="U83" s="16">
        <v>37</v>
      </c>
      <c r="V83" s="16" t="s">
        <v>53</v>
      </c>
      <c r="W83" s="15">
        <v>30</v>
      </c>
      <c r="X83" s="16" t="s">
        <v>706</v>
      </c>
      <c r="Y83" s="15">
        <v>4000</v>
      </c>
      <c r="Z83" s="16" t="s">
        <v>291</v>
      </c>
      <c r="AA83" s="15">
        <v>60</v>
      </c>
      <c r="AB83" s="16">
        <v>430</v>
      </c>
      <c r="AC83" s="15" t="s">
        <v>726</v>
      </c>
      <c r="AD83" s="15" t="s">
        <v>726</v>
      </c>
      <c r="AE83" s="15">
        <v>118</v>
      </c>
      <c r="AF83" s="15" t="s">
        <v>727</v>
      </c>
      <c r="AG83" s="15">
        <v>730</v>
      </c>
      <c r="AH83" s="15">
        <v>64</v>
      </c>
      <c r="AI83" s="15" t="s">
        <v>728</v>
      </c>
      <c r="AJ83" s="15" t="s">
        <v>112</v>
      </c>
      <c r="AK83" s="15" t="s">
        <v>167</v>
      </c>
      <c r="AL83" s="16" t="s">
        <v>729</v>
      </c>
      <c r="AM83" s="15">
        <v>200</v>
      </c>
      <c r="AN83" s="16" t="s">
        <v>661</v>
      </c>
    </row>
    <row r="84" spans="2:40">
      <c r="B84" s="61"/>
      <c r="C84" s="15">
        <v>13</v>
      </c>
      <c r="D84" s="15" t="s">
        <v>730</v>
      </c>
      <c r="E84" s="16">
        <v>500</v>
      </c>
      <c r="F84" s="16">
        <v>400</v>
      </c>
      <c r="G84" s="15" t="s">
        <v>652</v>
      </c>
      <c r="H84" s="15" t="s">
        <v>653</v>
      </c>
      <c r="I84" s="15">
        <v>150</v>
      </c>
      <c r="J84" s="16" t="s">
        <v>654</v>
      </c>
      <c r="K84" s="16">
        <v>204</v>
      </c>
      <c r="L84" s="15" t="s">
        <v>655</v>
      </c>
      <c r="M84" s="16">
        <v>196</v>
      </c>
      <c r="N84" s="16" t="s">
        <v>290</v>
      </c>
      <c r="O84" s="16">
        <v>25</v>
      </c>
      <c r="P84" s="16">
        <v>55</v>
      </c>
      <c r="Q84" s="15">
        <v>80000</v>
      </c>
      <c r="R84" s="15">
        <v>10000</v>
      </c>
      <c r="S84" s="16">
        <v>200</v>
      </c>
      <c r="T84" s="15">
        <v>250</v>
      </c>
      <c r="U84" s="16">
        <v>37</v>
      </c>
      <c r="V84" s="16" t="s">
        <v>53</v>
      </c>
      <c r="W84" s="15">
        <v>30</v>
      </c>
      <c r="X84" s="16" t="s">
        <v>706</v>
      </c>
      <c r="Y84" s="15">
        <v>4000</v>
      </c>
      <c r="Z84" s="16" t="s">
        <v>291</v>
      </c>
      <c r="AA84" s="15">
        <v>60</v>
      </c>
      <c r="AB84" s="16">
        <v>405</v>
      </c>
      <c r="AC84" s="15" t="s">
        <v>731</v>
      </c>
      <c r="AD84" s="15" t="s">
        <v>731</v>
      </c>
      <c r="AE84" s="15">
        <v>121</v>
      </c>
      <c r="AF84" s="15" t="s">
        <v>732</v>
      </c>
      <c r="AG84" s="15">
        <v>730</v>
      </c>
      <c r="AH84" s="15">
        <v>64</v>
      </c>
      <c r="AI84" s="15" t="s">
        <v>733</v>
      </c>
      <c r="AJ84" s="15" t="s">
        <v>734</v>
      </c>
      <c r="AK84" s="15" t="s">
        <v>735</v>
      </c>
      <c r="AL84" s="16" t="s">
        <v>736</v>
      </c>
      <c r="AM84" s="15">
        <v>200</v>
      </c>
      <c r="AN84" s="16" t="s">
        <v>661</v>
      </c>
    </row>
    <row r="85" spans="2:40">
      <c r="B85" s="61"/>
      <c r="C85" s="15">
        <v>14</v>
      </c>
      <c r="D85" s="15" t="s">
        <v>737</v>
      </c>
      <c r="E85" s="16">
        <v>500</v>
      </c>
      <c r="F85" s="16">
        <v>400</v>
      </c>
      <c r="G85" s="15" t="s">
        <v>652</v>
      </c>
      <c r="H85" s="15" t="s">
        <v>653</v>
      </c>
      <c r="I85" s="15">
        <v>150</v>
      </c>
      <c r="J85" s="16" t="s">
        <v>654</v>
      </c>
      <c r="K85" s="16">
        <v>204</v>
      </c>
      <c r="L85" s="15" t="s">
        <v>655</v>
      </c>
      <c r="M85" s="16">
        <v>196</v>
      </c>
      <c r="N85" s="16" t="s">
        <v>290</v>
      </c>
      <c r="O85" s="16">
        <v>25</v>
      </c>
      <c r="P85" s="16">
        <v>55</v>
      </c>
      <c r="Q85" s="15">
        <v>80000</v>
      </c>
      <c r="R85" s="15">
        <v>10000</v>
      </c>
      <c r="S85" s="16">
        <v>200</v>
      </c>
      <c r="T85" s="15">
        <v>250</v>
      </c>
      <c r="U85" s="16">
        <v>37</v>
      </c>
      <c r="V85" s="16" t="s">
        <v>53</v>
      </c>
      <c r="W85" s="15">
        <v>30</v>
      </c>
      <c r="X85" s="16" t="s">
        <v>706</v>
      </c>
      <c r="Y85" s="15">
        <v>4000</v>
      </c>
      <c r="Z85" s="16" t="s">
        <v>291</v>
      </c>
      <c r="AA85" s="15">
        <v>60</v>
      </c>
      <c r="AB85" s="16">
        <v>390</v>
      </c>
      <c r="AC85" s="15" t="s">
        <v>738</v>
      </c>
      <c r="AD85" s="15" t="s">
        <v>738</v>
      </c>
      <c r="AE85" s="15">
        <v>123</v>
      </c>
      <c r="AF85" s="15" t="s">
        <v>739</v>
      </c>
      <c r="AG85" s="15">
        <v>730</v>
      </c>
      <c r="AH85" s="15">
        <v>64</v>
      </c>
      <c r="AI85" s="15" t="s">
        <v>562</v>
      </c>
      <c r="AJ85" s="15" t="s">
        <v>740</v>
      </c>
      <c r="AK85" s="15" t="s">
        <v>741</v>
      </c>
      <c r="AL85" s="16" t="s">
        <v>54</v>
      </c>
      <c r="AM85" s="15">
        <v>200</v>
      </c>
      <c r="AN85" s="16" t="s">
        <v>661</v>
      </c>
    </row>
    <row r="86" spans="2:40">
      <c r="B86" s="61"/>
      <c r="C86" s="15">
        <v>15</v>
      </c>
      <c r="D86" s="15" t="s">
        <v>742</v>
      </c>
      <c r="E86" s="16">
        <v>500</v>
      </c>
      <c r="F86" s="16">
        <v>400</v>
      </c>
      <c r="G86" s="15" t="s">
        <v>652</v>
      </c>
      <c r="H86" s="15" t="s">
        <v>653</v>
      </c>
      <c r="I86" s="15">
        <v>150</v>
      </c>
      <c r="J86" s="16" t="s">
        <v>654</v>
      </c>
      <c r="K86" s="16">
        <v>204</v>
      </c>
      <c r="L86" s="15" t="s">
        <v>655</v>
      </c>
      <c r="M86" s="16">
        <v>196</v>
      </c>
      <c r="N86" s="16" t="s">
        <v>290</v>
      </c>
      <c r="O86" s="16">
        <v>25</v>
      </c>
      <c r="P86" s="16">
        <v>55</v>
      </c>
      <c r="Q86" s="15">
        <v>80000</v>
      </c>
      <c r="R86" s="15">
        <v>10000</v>
      </c>
      <c r="S86" s="16">
        <v>200</v>
      </c>
      <c r="T86" s="15">
        <v>250</v>
      </c>
      <c r="U86" s="16">
        <v>37</v>
      </c>
      <c r="V86" s="16" t="s">
        <v>53</v>
      </c>
      <c r="W86" s="15">
        <v>30</v>
      </c>
      <c r="X86" s="16" t="s">
        <v>706</v>
      </c>
      <c r="Y86" s="15">
        <v>4000</v>
      </c>
      <c r="Z86" s="16" t="s">
        <v>291</v>
      </c>
      <c r="AA86" s="15">
        <v>60</v>
      </c>
      <c r="AB86" s="16">
        <v>375</v>
      </c>
      <c r="AC86" s="15" t="s">
        <v>743</v>
      </c>
      <c r="AD86" s="15" t="s">
        <v>743</v>
      </c>
      <c r="AE86" s="15">
        <v>125</v>
      </c>
      <c r="AF86" s="15" t="s">
        <v>744</v>
      </c>
      <c r="AG86" s="15">
        <v>730</v>
      </c>
      <c r="AH86" s="15">
        <v>64</v>
      </c>
      <c r="AI86" s="15" t="s">
        <v>745</v>
      </c>
      <c r="AJ86" s="15" t="s">
        <v>746</v>
      </c>
      <c r="AK86" s="15" t="s">
        <v>747</v>
      </c>
      <c r="AL86" s="16" t="s">
        <v>748</v>
      </c>
      <c r="AM86" s="15">
        <v>200</v>
      </c>
      <c r="AN86" s="16" t="s">
        <v>661</v>
      </c>
    </row>
    <row r="87" spans="2:40">
      <c r="B87" s="61"/>
      <c r="C87" s="15">
        <v>16</v>
      </c>
      <c r="D87" s="15" t="s">
        <v>749</v>
      </c>
      <c r="E87" s="16">
        <v>500</v>
      </c>
      <c r="F87" s="16">
        <v>400</v>
      </c>
      <c r="G87" s="15" t="s">
        <v>652</v>
      </c>
      <c r="H87" s="15" t="s">
        <v>653</v>
      </c>
      <c r="I87" s="15">
        <v>150</v>
      </c>
      <c r="J87" s="16" t="s">
        <v>654</v>
      </c>
      <c r="K87" s="16">
        <v>204</v>
      </c>
      <c r="L87" s="15" t="s">
        <v>655</v>
      </c>
      <c r="M87" s="16">
        <v>196</v>
      </c>
      <c r="N87" s="16" t="s">
        <v>290</v>
      </c>
      <c r="O87" s="16">
        <v>25</v>
      </c>
      <c r="P87" s="16">
        <v>55</v>
      </c>
      <c r="Q87" s="15">
        <v>80000</v>
      </c>
      <c r="R87" s="15">
        <v>10000</v>
      </c>
      <c r="S87" s="16">
        <v>200</v>
      </c>
      <c r="T87" s="15">
        <v>250</v>
      </c>
      <c r="U87" s="16">
        <v>37</v>
      </c>
      <c r="V87" s="16" t="s">
        <v>53</v>
      </c>
      <c r="W87" s="15">
        <v>30</v>
      </c>
      <c r="X87" s="16" t="s">
        <v>750</v>
      </c>
      <c r="Y87" s="15">
        <v>4000</v>
      </c>
      <c r="Z87" s="16" t="s">
        <v>291</v>
      </c>
      <c r="AA87" s="15">
        <v>60</v>
      </c>
      <c r="AB87" s="16">
        <v>475</v>
      </c>
      <c r="AC87" s="15" t="s">
        <v>751</v>
      </c>
      <c r="AD87" s="15" t="s">
        <v>751</v>
      </c>
      <c r="AE87" s="15">
        <v>111</v>
      </c>
      <c r="AF87" s="15" t="s">
        <v>752</v>
      </c>
      <c r="AG87" s="15">
        <v>710</v>
      </c>
      <c r="AH87" s="15">
        <v>65</v>
      </c>
      <c r="AI87" s="15" t="s">
        <v>753</v>
      </c>
      <c r="AJ87" s="15" t="s">
        <v>754</v>
      </c>
      <c r="AK87" s="15" t="s">
        <v>379</v>
      </c>
      <c r="AL87" s="16" t="s">
        <v>755</v>
      </c>
      <c r="AM87" s="15">
        <v>180</v>
      </c>
      <c r="AN87" s="16" t="s">
        <v>661</v>
      </c>
    </row>
    <row r="88" spans="2:40">
      <c r="B88" s="61"/>
      <c r="C88" s="15">
        <v>17</v>
      </c>
      <c r="D88" s="15" t="s">
        <v>756</v>
      </c>
      <c r="E88" s="16">
        <v>500</v>
      </c>
      <c r="F88" s="16">
        <v>400</v>
      </c>
      <c r="G88" s="15" t="s">
        <v>652</v>
      </c>
      <c r="H88" s="15" t="s">
        <v>653</v>
      </c>
      <c r="I88" s="15">
        <v>150</v>
      </c>
      <c r="J88" s="16" t="s">
        <v>654</v>
      </c>
      <c r="K88" s="16">
        <v>204</v>
      </c>
      <c r="L88" s="15" t="s">
        <v>655</v>
      </c>
      <c r="M88" s="16">
        <v>196</v>
      </c>
      <c r="N88" s="16" t="s">
        <v>290</v>
      </c>
      <c r="O88" s="16">
        <v>25</v>
      </c>
      <c r="P88" s="16">
        <v>55</v>
      </c>
      <c r="Q88" s="15">
        <v>80000</v>
      </c>
      <c r="R88" s="15">
        <v>10000</v>
      </c>
      <c r="S88" s="16">
        <v>200</v>
      </c>
      <c r="T88" s="15">
        <v>250</v>
      </c>
      <c r="U88" s="16">
        <v>37</v>
      </c>
      <c r="V88" s="16" t="s">
        <v>53</v>
      </c>
      <c r="W88" s="15">
        <v>30</v>
      </c>
      <c r="X88" s="16" t="s">
        <v>750</v>
      </c>
      <c r="Y88" s="15">
        <v>4000</v>
      </c>
      <c r="Z88" s="16" t="s">
        <v>291</v>
      </c>
      <c r="AA88" s="15">
        <v>60</v>
      </c>
      <c r="AB88" s="16">
        <v>480</v>
      </c>
      <c r="AC88" s="15" t="s">
        <v>757</v>
      </c>
      <c r="AD88" s="15" t="s">
        <v>757</v>
      </c>
      <c r="AE88" s="15">
        <v>110</v>
      </c>
      <c r="AF88" s="15" t="s">
        <v>758</v>
      </c>
      <c r="AG88" s="15">
        <v>710</v>
      </c>
      <c r="AH88" s="15">
        <v>65</v>
      </c>
      <c r="AI88" s="15" t="s">
        <v>759</v>
      </c>
      <c r="AJ88" s="15" t="s">
        <v>760</v>
      </c>
      <c r="AK88" s="15" t="s">
        <v>194</v>
      </c>
      <c r="AL88" s="16" t="s">
        <v>724</v>
      </c>
      <c r="AM88" s="15">
        <v>180</v>
      </c>
      <c r="AN88" s="16" t="s">
        <v>661</v>
      </c>
    </row>
    <row r="89" spans="2:40">
      <c r="B89" s="61"/>
      <c r="C89" s="15">
        <v>18</v>
      </c>
      <c r="D89" s="15" t="s">
        <v>761</v>
      </c>
      <c r="E89" s="16">
        <v>500</v>
      </c>
      <c r="F89" s="16">
        <v>400</v>
      </c>
      <c r="G89" s="15" t="s">
        <v>652</v>
      </c>
      <c r="H89" s="15" t="s">
        <v>653</v>
      </c>
      <c r="I89" s="15">
        <v>150</v>
      </c>
      <c r="J89" s="16" t="s">
        <v>654</v>
      </c>
      <c r="K89" s="16">
        <v>204</v>
      </c>
      <c r="L89" s="15" t="s">
        <v>655</v>
      </c>
      <c r="M89" s="16">
        <v>196</v>
      </c>
      <c r="N89" s="16" t="s">
        <v>290</v>
      </c>
      <c r="O89" s="16">
        <v>25</v>
      </c>
      <c r="P89" s="16">
        <v>55</v>
      </c>
      <c r="Q89" s="15">
        <v>80000</v>
      </c>
      <c r="R89" s="15">
        <v>10000</v>
      </c>
      <c r="S89" s="16">
        <v>200</v>
      </c>
      <c r="T89" s="15">
        <v>250</v>
      </c>
      <c r="U89" s="16">
        <v>37</v>
      </c>
      <c r="V89" s="16" t="s">
        <v>53</v>
      </c>
      <c r="W89" s="15">
        <v>30</v>
      </c>
      <c r="X89" s="16" t="s">
        <v>750</v>
      </c>
      <c r="Y89" s="15">
        <v>4000</v>
      </c>
      <c r="Z89" s="16" t="s">
        <v>291</v>
      </c>
      <c r="AA89" s="15">
        <v>60</v>
      </c>
      <c r="AB89" s="16">
        <v>480</v>
      </c>
      <c r="AC89" s="15" t="s">
        <v>762</v>
      </c>
      <c r="AD89" s="15" t="s">
        <v>762</v>
      </c>
      <c r="AE89" s="15">
        <v>110</v>
      </c>
      <c r="AF89" s="15" t="s">
        <v>720</v>
      </c>
      <c r="AG89" s="15">
        <v>710</v>
      </c>
      <c r="AH89" s="15">
        <v>65</v>
      </c>
      <c r="AI89" s="15" t="s">
        <v>763</v>
      </c>
      <c r="AJ89" s="15" t="s">
        <v>764</v>
      </c>
      <c r="AK89" s="15" t="s">
        <v>194</v>
      </c>
      <c r="AL89" s="16" t="s">
        <v>724</v>
      </c>
      <c r="AM89" s="15">
        <v>180</v>
      </c>
      <c r="AN89" s="16" t="s">
        <v>661</v>
      </c>
    </row>
    <row r="90" spans="2:40">
      <c r="B90" s="61"/>
      <c r="C90" s="15">
        <v>19</v>
      </c>
      <c r="D90" s="15" t="s">
        <v>765</v>
      </c>
      <c r="E90" s="16">
        <v>500</v>
      </c>
      <c r="F90" s="16">
        <v>400</v>
      </c>
      <c r="G90" s="15" t="s">
        <v>652</v>
      </c>
      <c r="H90" s="15" t="s">
        <v>653</v>
      </c>
      <c r="I90" s="15">
        <v>150</v>
      </c>
      <c r="J90" s="16" t="s">
        <v>654</v>
      </c>
      <c r="K90" s="16">
        <v>204</v>
      </c>
      <c r="L90" s="15" t="s">
        <v>655</v>
      </c>
      <c r="M90" s="16">
        <v>196</v>
      </c>
      <c r="N90" s="16" t="s">
        <v>290</v>
      </c>
      <c r="O90" s="16">
        <v>25</v>
      </c>
      <c r="P90" s="16">
        <v>55</v>
      </c>
      <c r="Q90" s="15">
        <v>80000</v>
      </c>
      <c r="R90" s="15">
        <v>10000</v>
      </c>
      <c r="S90" s="16">
        <v>200</v>
      </c>
      <c r="T90" s="15">
        <v>250</v>
      </c>
      <c r="U90" s="16">
        <v>37</v>
      </c>
      <c r="V90" s="16" t="s">
        <v>53</v>
      </c>
      <c r="W90" s="15">
        <v>30</v>
      </c>
      <c r="X90" s="16" t="s">
        <v>750</v>
      </c>
      <c r="Y90" s="15">
        <v>4000</v>
      </c>
      <c r="Z90" s="16" t="s">
        <v>291</v>
      </c>
      <c r="AA90" s="15">
        <v>60</v>
      </c>
      <c r="AB90" s="16">
        <v>475</v>
      </c>
      <c r="AC90" s="15" t="s">
        <v>766</v>
      </c>
      <c r="AD90" s="15" t="s">
        <v>766</v>
      </c>
      <c r="AE90" s="15">
        <v>111</v>
      </c>
      <c r="AF90" s="15" t="s">
        <v>727</v>
      </c>
      <c r="AG90" s="15">
        <v>710</v>
      </c>
      <c r="AH90" s="15">
        <v>65</v>
      </c>
      <c r="AI90" s="15" t="s">
        <v>666</v>
      </c>
      <c r="AJ90" s="15" t="s">
        <v>767</v>
      </c>
      <c r="AK90" s="15" t="s">
        <v>194</v>
      </c>
      <c r="AL90" s="16" t="s">
        <v>768</v>
      </c>
      <c r="AM90" s="15">
        <v>180</v>
      </c>
      <c r="AN90" s="16" t="s">
        <v>661</v>
      </c>
    </row>
    <row r="91" spans="2:40">
      <c r="B91" s="61"/>
      <c r="C91" s="15">
        <v>20</v>
      </c>
      <c r="D91" s="15" t="s">
        <v>769</v>
      </c>
      <c r="E91" s="16">
        <v>500</v>
      </c>
      <c r="F91" s="16">
        <v>400</v>
      </c>
      <c r="G91" s="15" t="s">
        <v>652</v>
      </c>
      <c r="H91" s="15" t="s">
        <v>653</v>
      </c>
      <c r="I91" s="15">
        <v>150</v>
      </c>
      <c r="J91" s="16" t="s">
        <v>654</v>
      </c>
      <c r="K91" s="16">
        <v>204</v>
      </c>
      <c r="L91" s="15" t="s">
        <v>655</v>
      </c>
      <c r="M91" s="16">
        <v>196</v>
      </c>
      <c r="N91" s="16" t="s">
        <v>290</v>
      </c>
      <c r="O91" s="16">
        <v>25</v>
      </c>
      <c r="P91" s="16">
        <v>55</v>
      </c>
      <c r="Q91" s="15">
        <v>80000</v>
      </c>
      <c r="R91" s="15">
        <v>10000</v>
      </c>
      <c r="S91" s="16">
        <v>200</v>
      </c>
      <c r="T91" s="15">
        <v>250</v>
      </c>
      <c r="U91" s="16">
        <v>37</v>
      </c>
      <c r="V91" s="16" t="s">
        <v>53</v>
      </c>
      <c r="W91" s="15">
        <v>30</v>
      </c>
      <c r="X91" s="16" t="s">
        <v>750</v>
      </c>
      <c r="Y91" s="15">
        <v>4000</v>
      </c>
      <c r="Z91" s="16" t="s">
        <v>291</v>
      </c>
      <c r="AA91" s="15">
        <v>60</v>
      </c>
      <c r="AB91" s="16">
        <v>470</v>
      </c>
      <c r="AC91" s="15" t="s">
        <v>770</v>
      </c>
      <c r="AD91" s="15" t="s">
        <v>770</v>
      </c>
      <c r="AE91" s="15">
        <v>112</v>
      </c>
      <c r="AF91" s="15" t="s">
        <v>727</v>
      </c>
      <c r="AG91" s="15">
        <v>710</v>
      </c>
      <c r="AH91" s="15">
        <v>65</v>
      </c>
      <c r="AI91" s="15" t="s">
        <v>771</v>
      </c>
      <c r="AJ91" s="15" t="s">
        <v>772</v>
      </c>
      <c r="AK91" s="15" t="s">
        <v>379</v>
      </c>
      <c r="AL91" s="16" t="s">
        <v>773</v>
      </c>
      <c r="AM91" s="15">
        <v>180</v>
      </c>
      <c r="AN91" s="16" t="s">
        <v>661</v>
      </c>
    </row>
    <row r="92" spans="2:40">
      <c r="B92" s="61"/>
      <c r="C92" s="15">
        <v>21</v>
      </c>
      <c r="D92" s="15" t="s">
        <v>774</v>
      </c>
      <c r="E92" s="16">
        <v>500</v>
      </c>
      <c r="F92" s="16">
        <v>400</v>
      </c>
      <c r="G92" s="15" t="s">
        <v>652</v>
      </c>
      <c r="H92" s="15" t="s">
        <v>653</v>
      </c>
      <c r="I92" s="15">
        <v>150</v>
      </c>
      <c r="J92" s="16" t="s">
        <v>654</v>
      </c>
      <c r="K92" s="16">
        <v>204</v>
      </c>
      <c r="L92" s="15" t="s">
        <v>655</v>
      </c>
      <c r="M92" s="16">
        <v>196</v>
      </c>
      <c r="N92" s="16" t="s">
        <v>290</v>
      </c>
      <c r="O92" s="16">
        <v>25</v>
      </c>
      <c r="P92" s="16">
        <v>55</v>
      </c>
      <c r="Q92" s="15">
        <v>80000</v>
      </c>
      <c r="R92" s="15">
        <v>10000</v>
      </c>
      <c r="S92" s="16">
        <v>200</v>
      </c>
      <c r="T92" s="15">
        <v>250</v>
      </c>
      <c r="U92" s="16">
        <v>37</v>
      </c>
      <c r="V92" s="16" t="s">
        <v>53</v>
      </c>
      <c r="W92" s="15">
        <v>30</v>
      </c>
      <c r="X92" s="16" t="s">
        <v>750</v>
      </c>
      <c r="Y92" s="15">
        <v>4000</v>
      </c>
      <c r="Z92" s="16" t="s">
        <v>291</v>
      </c>
      <c r="AA92" s="15">
        <v>60</v>
      </c>
      <c r="AB92" s="16">
        <v>460</v>
      </c>
      <c r="AC92" s="15" t="s">
        <v>775</v>
      </c>
      <c r="AD92" s="15" t="s">
        <v>775</v>
      </c>
      <c r="AE92" s="15">
        <v>114</v>
      </c>
      <c r="AF92" s="15" t="s">
        <v>732</v>
      </c>
      <c r="AG92" s="15">
        <v>710</v>
      </c>
      <c r="AH92" s="15">
        <v>65</v>
      </c>
      <c r="AI92" s="15" t="s">
        <v>776</v>
      </c>
      <c r="AJ92" s="15" t="s">
        <v>676</v>
      </c>
      <c r="AK92" s="15" t="s">
        <v>400</v>
      </c>
      <c r="AL92" s="16" t="s">
        <v>777</v>
      </c>
      <c r="AM92" s="15">
        <v>180</v>
      </c>
      <c r="AN92" s="16" t="s">
        <v>661</v>
      </c>
    </row>
    <row r="93" spans="2:40">
      <c r="B93" s="61"/>
      <c r="C93" s="10">
        <v>22</v>
      </c>
      <c r="D93" s="15" t="s">
        <v>778</v>
      </c>
      <c r="E93" s="20">
        <v>500</v>
      </c>
      <c r="F93" s="20">
        <v>400</v>
      </c>
      <c r="G93" s="10" t="s">
        <v>652</v>
      </c>
      <c r="H93" s="10" t="s">
        <v>653</v>
      </c>
      <c r="I93" s="10">
        <v>150</v>
      </c>
      <c r="J93" s="20" t="s">
        <v>654</v>
      </c>
      <c r="K93" s="20">
        <v>204</v>
      </c>
      <c r="L93" s="10" t="s">
        <v>655</v>
      </c>
      <c r="M93" s="20">
        <v>196</v>
      </c>
      <c r="N93" s="20" t="s">
        <v>290</v>
      </c>
      <c r="O93" s="20">
        <v>25</v>
      </c>
      <c r="P93" s="20">
        <v>55</v>
      </c>
      <c r="Q93" s="10">
        <v>80000</v>
      </c>
      <c r="R93" s="10">
        <v>10000</v>
      </c>
      <c r="S93" s="20">
        <v>200</v>
      </c>
      <c r="T93" s="10">
        <v>250</v>
      </c>
      <c r="U93" s="20">
        <v>37</v>
      </c>
      <c r="V93" s="20" t="s">
        <v>53</v>
      </c>
      <c r="W93" s="10">
        <v>30</v>
      </c>
      <c r="X93" s="20" t="s">
        <v>750</v>
      </c>
      <c r="Y93" s="10">
        <v>4000</v>
      </c>
      <c r="Z93" s="20" t="s">
        <v>291</v>
      </c>
      <c r="AA93" s="10">
        <v>60</v>
      </c>
      <c r="AB93" s="20">
        <v>450</v>
      </c>
      <c r="AC93" s="10" t="s">
        <v>779</v>
      </c>
      <c r="AD93" s="10" t="s">
        <v>779</v>
      </c>
      <c r="AE93" s="10">
        <v>116</v>
      </c>
      <c r="AF93" s="10" t="s">
        <v>739</v>
      </c>
      <c r="AG93" s="10">
        <v>710</v>
      </c>
      <c r="AH93" s="10">
        <v>65</v>
      </c>
      <c r="AI93" s="10" t="s">
        <v>130</v>
      </c>
      <c r="AJ93" s="10" t="s">
        <v>780</v>
      </c>
      <c r="AK93" s="10" t="s">
        <v>386</v>
      </c>
      <c r="AL93" s="20" t="s">
        <v>729</v>
      </c>
      <c r="AM93" s="10">
        <v>180</v>
      </c>
      <c r="AN93" s="20" t="s">
        <v>661</v>
      </c>
    </row>
    <row r="94" spans="2:40" ht="43.5" customHeight="1">
      <c r="B94" s="59" t="s">
        <v>781</v>
      </c>
      <c r="C94" s="44" t="s">
        <v>313</v>
      </c>
      <c r="D94" s="41" t="s">
        <v>782</v>
      </c>
      <c r="E94" s="41">
        <v>4500</v>
      </c>
      <c r="F94" s="41">
        <v>3500</v>
      </c>
      <c r="G94" s="41" t="s">
        <v>372</v>
      </c>
      <c r="H94" s="41" t="s">
        <v>373</v>
      </c>
      <c r="I94" s="41">
        <v>350</v>
      </c>
      <c r="J94" s="17" t="s">
        <v>380</v>
      </c>
      <c r="K94" s="41">
        <v>24</v>
      </c>
      <c r="L94" s="41" t="s">
        <v>234</v>
      </c>
      <c r="M94" s="41">
        <v>18</v>
      </c>
      <c r="N94" s="41" t="s">
        <v>536</v>
      </c>
      <c r="O94" s="41">
        <v>4</v>
      </c>
      <c r="P94" s="41">
        <v>10</v>
      </c>
      <c r="Q94" s="41">
        <v>28000</v>
      </c>
      <c r="R94" s="41">
        <v>15000</v>
      </c>
      <c r="S94" s="41">
        <v>430</v>
      </c>
      <c r="T94" s="41">
        <v>60</v>
      </c>
      <c r="U94" s="41">
        <v>36</v>
      </c>
      <c r="V94" s="42" t="s">
        <v>53</v>
      </c>
      <c r="W94" s="41">
        <v>20</v>
      </c>
      <c r="X94" s="17" t="s">
        <v>328</v>
      </c>
      <c r="Y94" s="41">
        <v>2100</v>
      </c>
      <c r="Z94" s="41" t="s">
        <v>246</v>
      </c>
      <c r="AA94" s="41">
        <v>100</v>
      </c>
      <c r="AB94" s="17">
        <v>320</v>
      </c>
      <c r="AC94" s="41">
        <v>198</v>
      </c>
      <c r="AD94" s="41">
        <v>198</v>
      </c>
      <c r="AE94" s="41" t="s">
        <v>159</v>
      </c>
      <c r="AF94" s="41">
        <v>60</v>
      </c>
      <c r="AG94" s="41">
        <v>120</v>
      </c>
      <c r="AH94" s="41">
        <v>62</v>
      </c>
      <c r="AI94" s="41">
        <v>56</v>
      </c>
      <c r="AJ94" s="41" t="s">
        <v>437</v>
      </c>
      <c r="AK94" s="41" t="s">
        <v>381</v>
      </c>
      <c r="AL94" s="17" t="s">
        <v>369</v>
      </c>
      <c r="AM94" s="41">
        <v>180</v>
      </c>
      <c r="AN94" s="43">
        <v>3600</v>
      </c>
    </row>
    <row r="95" spans="2:40">
      <c r="B95" s="53"/>
      <c r="C95" s="15" t="s">
        <v>325</v>
      </c>
      <c r="D95" s="10" t="s">
        <v>783</v>
      </c>
      <c r="E95" s="10">
        <v>4500</v>
      </c>
      <c r="F95" s="10">
        <v>3500</v>
      </c>
      <c r="G95" s="10" t="s">
        <v>372</v>
      </c>
      <c r="H95" s="10" t="s">
        <v>373</v>
      </c>
      <c r="I95" s="10">
        <v>350</v>
      </c>
      <c r="J95" s="20" t="s">
        <v>379</v>
      </c>
      <c r="K95" s="10">
        <v>30</v>
      </c>
      <c r="L95" s="10" t="s">
        <v>784</v>
      </c>
      <c r="M95" s="10">
        <v>23</v>
      </c>
      <c r="N95" s="10" t="s">
        <v>434</v>
      </c>
      <c r="O95" s="10">
        <v>12</v>
      </c>
      <c r="P95" s="10">
        <v>32</v>
      </c>
      <c r="Q95" s="10">
        <v>34000</v>
      </c>
      <c r="R95" s="10">
        <v>18600</v>
      </c>
      <c r="S95" s="10">
        <v>440</v>
      </c>
      <c r="T95" s="10">
        <v>75</v>
      </c>
      <c r="U95" s="10">
        <v>36</v>
      </c>
      <c r="V95" s="16" t="s">
        <v>53</v>
      </c>
      <c r="W95" s="10">
        <v>20</v>
      </c>
      <c r="X95" s="20" t="s">
        <v>320</v>
      </c>
      <c r="Y95" s="10">
        <v>2200</v>
      </c>
      <c r="Z95" s="10" t="s">
        <v>374</v>
      </c>
      <c r="AA95" s="10">
        <v>100</v>
      </c>
      <c r="AB95" s="20">
        <v>398</v>
      </c>
      <c r="AC95" s="10">
        <v>250</v>
      </c>
      <c r="AD95" s="10">
        <v>250</v>
      </c>
      <c r="AE95" s="10" t="s">
        <v>303</v>
      </c>
      <c r="AF95" s="10">
        <v>74</v>
      </c>
      <c r="AG95" s="10">
        <v>135</v>
      </c>
      <c r="AH95" s="10">
        <v>63</v>
      </c>
      <c r="AI95" s="10">
        <v>71</v>
      </c>
      <c r="AJ95" s="10" t="s">
        <v>298</v>
      </c>
      <c r="AK95" s="10" t="s">
        <v>785</v>
      </c>
      <c r="AL95" s="20" t="s">
        <v>376</v>
      </c>
      <c r="AM95" s="10">
        <v>160</v>
      </c>
      <c r="AN95" s="27">
        <v>3700</v>
      </c>
    </row>
    <row r="96" spans="2:40">
      <c r="B96" s="53"/>
      <c r="C96" s="15" t="s">
        <v>384</v>
      </c>
      <c r="D96" s="10" t="s">
        <v>786</v>
      </c>
      <c r="E96" s="10">
        <v>4500</v>
      </c>
      <c r="F96" s="10">
        <v>3500</v>
      </c>
      <c r="G96" s="10" t="s">
        <v>372</v>
      </c>
      <c r="H96" s="10" t="s">
        <v>373</v>
      </c>
      <c r="I96" s="10">
        <v>350</v>
      </c>
      <c r="J96" s="20" t="s">
        <v>386</v>
      </c>
      <c r="K96" s="10">
        <v>34</v>
      </c>
      <c r="L96" s="10" t="s">
        <v>422</v>
      </c>
      <c r="M96" s="10">
        <v>27</v>
      </c>
      <c r="N96" s="10">
        <v>14</v>
      </c>
      <c r="O96" s="10">
        <v>15</v>
      </c>
      <c r="P96" s="10">
        <v>38</v>
      </c>
      <c r="Q96" s="10">
        <v>38500</v>
      </c>
      <c r="R96" s="10">
        <v>20100</v>
      </c>
      <c r="S96" s="10">
        <v>460</v>
      </c>
      <c r="T96" s="10">
        <v>85</v>
      </c>
      <c r="U96" s="10">
        <v>36</v>
      </c>
      <c r="V96" s="16" t="s">
        <v>53</v>
      </c>
      <c r="W96" s="10">
        <v>20</v>
      </c>
      <c r="X96" s="20" t="s">
        <v>285</v>
      </c>
      <c r="Y96" s="10">
        <v>2400</v>
      </c>
      <c r="Z96" s="10" t="s">
        <v>308</v>
      </c>
      <c r="AA96" s="10">
        <v>100</v>
      </c>
      <c r="AB96" s="20">
        <v>442</v>
      </c>
      <c r="AC96" s="10">
        <v>281</v>
      </c>
      <c r="AD96" s="10">
        <v>281</v>
      </c>
      <c r="AE96" s="10" t="s">
        <v>388</v>
      </c>
      <c r="AF96" s="10">
        <v>80</v>
      </c>
      <c r="AG96" s="10">
        <v>150</v>
      </c>
      <c r="AH96" s="10">
        <v>64</v>
      </c>
      <c r="AI96" s="10">
        <v>80</v>
      </c>
      <c r="AJ96" s="10" t="s">
        <v>787</v>
      </c>
      <c r="AK96" s="10" t="s">
        <v>167</v>
      </c>
      <c r="AL96" s="20" t="s">
        <v>331</v>
      </c>
      <c r="AM96" s="10">
        <v>150</v>
      </c>
      <c r="AN96" s="27">
        <v>3800</v>
      </c>
    </row>
    <row r="97" spans="2:40">
      <c r="B97" s="53"/>
      <c r="C97" s="15" t="s">
        <v>629</v>
      </c>
      <c r="D97" s="10" t="s">
        <v>788</v>
      </c>
      <c r="E97" s="10">
        <v>4500</v>
      </c>
      <c r="F97" s="10">
        <v>3500</v>
      </c>
      <c r="G97" s="10" t="s">
        <v>372</v>
      </c>
      <c r="H97" s="10" t="s">
        <v>373</v>
      </c>
      <c r="I97" s="10">
        <v>350</v>
      </c>
      <c r="J97" s="20" t="s">
        <v>317</v>
      </c>
      <c r="K97" s="10">
        <v>38</v>
      </c>
      <c r="L97" s="10" t="s">
        <v>379</v>
      </c>
      <c r="M97" s="10">
        <v>30</v>
      </c>
      <c r="N97" s="10" t="s">
        <v>789</v>
      </c>
      <c r="O97" s="10">
        <v>16</v>
      </c>
      <c r="P97" s="10">
        <v>42</v>
      </c>
      <c r="Q97" s="10">
        <v>41200</v>
      </c>
      <c r="R97" s="10">
        <v>22400</v>
      </c>
      <c r="S97" s="10">
        <v>470</v>
      </c>
      <c r="T97" s="10">
        <v>95</v>
      </c>
      <c r="U97" s="10">
        <v>36</v>
      </c>
      <c r="V97" s="16" t="s">
        <v>53</v>
      </c>
      <c r="W97" s="10">
        <v>20</v>
      </c>
      <c r="X97" s="20" t="s">
        <v>305</v>
      </c>
      <c r="Y97" s="10">
        <v>2500</v>
      </c>
      <c r="Z97" s="10" t="s">
        <v>330</v>
      </c>
      <c r="AA97" s="10">
        <v>100</v>
      </c>
      <c r="AB97" s="20">
        <v>460</v>
      </c>
      <c r="AC97" s="10">
        <v>295</v>
      </c>
      <c r="AD97" s="10">
        <v>295</v>
      </c>
      <c r="AE97" s="10" t="s">
        <v>167</v>
      </c>
      <c r="AF97" s="10">
        <v>82</v>
      </c>
      <c r="AG97" s="10">
        <v>155</v>
      </c>
      <c r="AH97" s="10">
        <v>65</v>
      </c>
      <c r="AI97" s="10">
        <v>84</v>
      </c>
      <c r="AJ97" s="10" t="s">
        <v>288</v>
      </c>
      <c r="AK97" s="10" t="s">
        <v>735</v>
      </c>
      <c r="AL97" s="20" t="s">
        <v>324</v>
      </c>
      <c r="AM97" s="10">
        <v>140</v>
      </c>
      <c r="AN97" s="27">
        <v>3850</v>
      </c>
    </row>
    <row r="98" spans="2:40" ht="24" customHeight="1">
      <c r="B98" s="57" t="s">
        <v>790</v>
      </c>
      <c r="C98" s="15" t="s">
        <v>791</v>
      </c>
      <c r="D98" s="15" t="s">
        <v>792</v>
      </c>
      <c r="E98" s="16">
        <v>1000</v>
      </c>
      <c r="F98" s="16">
        <v>800</v>
      </c>
      <c r="G98" s="15" t="s">
        <v>637</v>
      </c>
      <c r="H98" s="15" t="s">
        <v>793</v>
      </c>
      <c r="I98" s="15">
        <v>160</v>
      </c>
      <c r="J98" s="16" t="s">
        <v>654</v>
      </c>
      <c r="K98" s="16">
        <v>204</v>
      </c>
      <c r="L98" s="15" t="s">
        <v>655</v>
      </c>
      <c r="M98" s="16">
        <v>962</v>
      </c>
      <c r="N98" s="16" t="s">
        <v>293</v>
      </c>
      <c r="O98" s="16" t="s">
        <v>382</v>
      </c>
      <c r="P98" s="16">
        <v>45</v>
      </c>
      <c r="Q98" s="15">
        <v>45000</v>
      </c>
      <c r="R98" s="15">
        <v>35000</v>
      </c>
      <c r="S98" s="15">
        <v>200</v>
      </c>
      <c r="T98" s="15">
        <v>50</v>
      </c>
      <c r="U98" s="16">
        <v>37</v>
      </c>
      <c r="V98" s="16" t="s">
        <v>53</v>
      </c>
      <c r="W98" s="15">
        <v>28</v>
      </c>
      <c r="X98" s="16" t="s">
        <v>328</v>
      </c>
      <c r="Y98" s="15">
        <v>2800</v>
      </c>
      <c r="Z98" s="15" t="s">
        <v>374</v>
      </c>
      <c r="AA98" s="15">
        <v>0</v>
      </c>
      <c r="AB98" s="16">
        <v>575</v>
      </c>
      <c r="AC98" s="15">
        <v>345</v>
      </c>
      <c r="AD98" s="15">
        <v>60</v>
      </c>
      <c r="AE98" s="15" t="s">
        <v>319</v>
      </c>
      <c r="AF98" s="15">
        <v>58</v>
      </c>
      <c r="AG98" s="15">
        <v>100</v>
      </c>
      <c r="AH98" s="15" t="s">
        <v>159</v>
      </c>
      <c r="AI98" s="15">
        <v>56</v>
      </c>
      <c r="AJ98" s="15">
        <v>620</v>
      </c>
      <c r="AK98" s="15" t="s">
        <v>794</v>
      </c>
      <c r="AL98" s="16">
        <v>42</v>
      </c>
      <c r="AM98" s="15">
        <v>6</v>
      </c>
      <c r="AN98" s="26">
        <v>3500</v>
      </c>
    </row>
    <row r="99" spans="2:40">
      <c r="B99" s="57"/>
      <c r="C99" s="15" t="s">
        <v>795</v>
      </c>
      <c r="D99" s="15" t="s">
        <v>796</v>
      </c>
      <c r="E99" s="16">
        <v>1000</v>
      </c>
      <c r="F99" s="16">
        <v>800</v>
      </c>
      <c r="G99" s="15" t="s">
        <v>637</v>
      </c>
      <c r="H99" s="15" t="s">
        <v>793</v>
      </c>
      <c r="I99" s="15">
        <v>160</v>
      </c>
      <c r="J99" s="16" t="s">
        <v>654</v>
      </c>
      <c r="K99" s="16">
        <v>204</v>
      </c>
      <c r="L99" s="15" t="s">
        <v>655</v>
      </c>
      <c r="M99" s="16">
        <v>962</v>
      </c>
      <c r="N99" s="16" t="s">
        <v>293</v>
      </c>
      <c r="O99" s="16" t="s">
        <v>382</v>
      </c>
      <c r="P99" s="16">
        <v>45</v>
      </c>
      <c r="Q99" s="15">
        <v>45000</v>
      </c>
      <c r="R99" s="15">
        <v>35000</v>
      </c>
      <c r="S99" s="15">
        <v>200</v>
      </c>
      <c r="T99" s="15">
        <v>50</v>
      </c>
      <c r="U99" s="16">
        <v>37</v>
      </c>
      <c r="V99" s="16" t="s">
        <v>53</v>
      </c>
      <c r="W99" s="15">
        <v>28</v>
      </c>
      <c r="X99" s="16" t="s">
        <v>328</v>
      </c>
      <c r="Y99" s="15">
        <v>2800</v>
      </c>
      <c r="Z99" s="15" t="s">
        <v>374</v>
      </c>
      <c r="AA99" s="15">
        <v>0</v>
      </c>
      <c r="AB99" s="16">
        <v>610</v>
      </c>
      <c r="AC99" s="15">
        <v>366</v>
      </c>
      <c r="AD99" s="15">
        <v>60</v>
      </c>
      <c r="AE99" s="15" t="s">
        <v>311</v>
      </c>
      <c r="AF99" s="15">
        <v>60</v>
      </c>
      <c r="AG99" s="15">
        <v>110</v>
      </c>
      <c r="AH99" s="15" t="s">
        <v>267</v>
      </c>
      <c r="AI99" s="15">
        <v>58</v>
      </c>
      <c r="AJ99" s="15">
        <v>700</v>
      </c>
      <c r="AK99" s="15">
        <v>20</v>
      </c>
      <c r="AL99" s="16">
        <v>45</v>
      </c>
      <c r="AM99" s="15">
        <v>6</v>
      </c>
      <c r="AN99" s="26">
        <v>3600</v>
      </c>
    </row>
    <row r="100" spans="2:40">
      <c r="B100" s="57"/>
      <c r="C100" s="15" t="s">
        <v>797</v>
      </c>
      <c r="D100" s="15" t="s">
        <v>798</v>
      </c>
      <c r="E100" s="16">
        <v>1000</v>
      </c>
      <c r="F100" s="16">
        <v>800</v>
      </c>
      <c r="G100" s="15" t="s">
        <v>637</v>
      </c>
      <c r="H100" s="15" t="s">
        <v>793</v>
      </c>
      <c r="I100" s="15">
        <v>160</v>
      </c>
      <c r="J100" s="16" t="s">
        <v>654</v>
      </c>
      <c r="K100" s="16">
        <v>204</v>
      </c>
      <c r="L100" s="15" t="s">
        <v>655</v>
      </c>
      <c r="M100" s="16">
        <v>962</v>
      </c>
      <c r="N100" s="16" t="s">
        <v>293</v>
      </c>
      <c r="O100" s="16" t="s">
        <v>382</v>
      </c>
      <c r="P100" s="16">
        <v>45</v>
      </c>
      <c r="Q100" s="15">
        <v>45000</v>
      </c>
      <c r="R100" s="15">
        <v>35000</v>
      </c>
      <c r="S100" s="15">
        <v>200</v>
      </c>
      <c r="T100" s="15">
        <v>50</v>
      </c>
      <c r="U100" s="16">
        <v>37</v>
      </c>
      <c r="V100" s="16" t="s">
        <v>53</v>
      </c>
      <c r="W100" s="15">
        <v>28</v>
      </c>
      <c r="X100" s="16" t="s">
        <v>328</v>
      </c>
      <c r="Y100" s="15">
        <v>2800</v>
      </c>
      <c r="Z100" s="15" t="s">
        <v>374</v>
      </c>
      <c r="AA100" s="15">
        <v>0</v>
      </c>
      <c r="AB100" s="16">
        <v>650</v>
      </c>
      <c r="AC100" s="15">
        <v>390</v>
      </c>
      <c r="AD100" s="15">
        <v>60</v>
      </c>
      <c r="AE100" s="15" t="s">
        <v>324</v>
      </c>
      <c r="AF100" s="15">
        <v>62</v>
      </c>
      <c r="AG100" s="15">
        <v>115</v>
      </c>
      <c r="AH100" s="15" t="s">
        <v>267</v>
      </c>
      <c r="AI100" s="15">
        <v>60</v>
      </c>
      <c r="AJ100" s="15">
        <v>820</v>
      </c>
      <c r="AK100" s="15" t="s">
        <v>799</v>
      </c>
      <c r="AL100" s="16">
        <v>50</v>
      </c>
      <c r="AM100" s="15">
        <v>5</v>
      </c>
      <c r="AN100" s="26">
        <v>3700</v>
      </c>
    </row>
    <row r="101" spans="2:40">
      <c r="B101" s="57"/>
      <c r="C101" s="15" t="s">
        <v>800</v>
      </c>
      <c r="D101" s="15" t="s">
        <v>801</v>
      </c>
      <c r="E101" s="16">
        <v>1000</v>
      </c>
      <c r="F101" s="16">
        <v>800</v>
      </c>
      <c r="G101" s="15" t="s">
        <v>637</v>
      </c>
      <c r="H101" s="15" t="s">
        <v>793</v>
      </c>
      <c r="I101" s="15">
        <v>160</v>
      </c>
      <c r="J101" s="16" t="s">
        <v>654</v>
      </c>
      <c r="K101" s="16">
        <v>204</v>
      </c>
      <c r="L101" s="15" t="s">
        <v>655</v>
      </c>
      <c r="M101" s="16">
        <v>962</v>
      </c>
      <c r="N101" s="16" t="s">
        <v>293</v>
      </c>
      <c r="O101" s="16" t="s">
        <v>382</v>
      </c>
      <c r="P101" s="16">
        <v>45</v>
      </c>
      <c r="Q101" s="15">
        <v>45000</v>
      </c>
      <c r="R101" s="15">
        <v>35000</v>
      </c>
      <c r="S101" s="15">
        <v>200</v>
      </c>
      <c r="T101" s="15">
        <v>50</v>
      </c>
      <c r="U101" s="16">
        <v>37</v>
      </c>
      <c r="V101" s="16" t="s">
        <v>53</v>
      </c>
      <c r="W101" s="15">
        <v>28</v>
      </c>
      <c r="X101" s="16" t="s">
        <v>328</v>
      </c>
      <c r="Y101" s="15">
        <v>2800</v>
      </c>
      <c r="Z101" s="15" t="s">
        <v>374</v>
      </c>
      <c r="AA101" s="15">
        <v>0</v>
      </c>
      <c r="AB101" s="16">
        <v>640</v>
      </c>
      <c r="AC101" s="15">
        <v>384</v>
      </c>
      <c r="AD101" s="15">
        <v>60</v>
      </c>
      <c r="AE101" s="15" t="s">
        <v>311</v>
      </c>
      <c r="AF101" s="15">
        <v>61</v>
      </c>
      <c r="AG101" s="15">
        <v>115</v>
      </c>
      <c r="AH101" s="15" t="s">
        <v>163</v>
      </c>
      <c r="AI101" s="15">
        <v>59</v>
      </c>
      <c r="AJ101" s="15">
        <v>780</v>
      </c>
      <c r="AK101" s="15" t="s">
        <v>802</v>
      </c>
      <c r="AL101" s="16">
        <v>60</v>
      </c>
      <c r="AM101" s="15">
        <v>5</v>
      </c>
      <c r="AN101" s="26">
        <v>3800</v>
      </c>
    </row>
    <row r="102" spans="2:40" ht="43.5" customHeight="1">
      <c r="B102" s="57" t="s">
        <v>803</v>
      </c>
      <c r="C102" s="15" t="s">
        <v>804</v>
      </c>
      <c r="D102" s="15" t="s">
        <v>805</v>
      </c>
      <c r="E102" s="16">
        <v>1000</v>
      </c>
      <c r="F102" s="16">
        <v>900</v>
      </c>
      <c r="G102" s="15" t="s">
        <v>806</v>
      </c>
      <c r="H102" s="15" t="s">
        <v>807</v>
      </c>
      <c r="I102" s="15">
        <v>50</v>
      </c>
      <c r="J102" s="16" t="s">
        <v>324</v>
      </c>
      <c r="K102" s="16">
        <v>78</v>
      </c>
      <c r="L102" s="15" t="s">
        <v>376</v>
      </c>
      <c r="M102" s="16">
        <v>76</v>
      </c>
      <c r="N102" s="16" t="s">
        <v>575</v>
      </c>
      <c r="O102" s="16" t="s">
        <v>685</v>
      </c>
      <c r="P102" s="16">
        <v>45</v>
      </c>
      <c r="Q102" s="16">
        <v>73000</v>
      </c>
      <c r="R102" s="10" t="s">
        <v>477</v>
      </c>
      <c r="S102" s="16">
        <v>200</v>
      </c>
      <c r="T102" s="15">
        <v>50</v>
      </c>
      <c r="U102" s="16">
        <v>37</v>
      </c>
      <c r="V102" s="16" t="s">
        <v>53</v>
      </c>
      <c r="W102" s="15">
        <v>30</v>
      </c>
      <c r="X102" s="16" t="s">
        <v>328</v>
      </c>
      <c r="Y102" s="15">
        <v>1285</v>
      </c>
      <c r="Z102" s="16" t="s">
        <v>808</v>
      </c>
      <c r="AA102" s="15">
        <v>120</v>
      </c>
      <c r="AB102" s="16">
        <v>286</v>
      </c>
      <c r="AC102" s="16">
        <v>160</v>
      </c>
      <c r="AD102" s="15">
        <v>160</v>
      </c>
      <c r="AE102" s="16" t="s">
        <v>809</v>
      </c>
      <c r="AF102" s="15">
        <v>56</v>
      </c>
      <c r="AG102" s="10" t="s">
        <v>564</v>
      </c>
      <c r="AH102" s="16">
        <v>56</v>
      </c>
      <c r="AI102" s="15">
        <v>46</v>
      </c>
      <c r="AJ102" s="16" t="s">
        <v>810</v>
      </c>
      <c r="AK102" s="16">
        <v>6</v>
      </c>
      <c r="AL102" s="16" t="s">
        <v>267</v>
      </c>
      <c r="AM102" s="16">
        <v>130</v>
      </c>
      <c r="AN102" s="30" t="s">
        <v>66</v>
      </c>
    </row>
    <row r="103" spans="2:40">
      <c r="B103" s="57"/>
      <c r="C103" s="15" t="s">
        <v>811</v>
      </c>
      <c r="D103" s="15" t="s">
        <v>812</v>
      </c>
      <c r="E103" s="16">
        <v>1000</v>
      </c>
      <c r="F103" s="16">
        <v>900</v>
      </c>
      <c r="G103" s="15" t="s">
        <v>813</v>
      </c>
      <c r="H103" s="15" t="s">
        <v>807</v>
      </c>
      <c r="I103" s="15">
        <v>50</v>
      </c>
      <c r="J103" s="16" t="s">
        <v>324</v>
      </c>
      <c r="K103" s="16">
        <v>78</v>
      </c>
      <c r="L103" s="15" t="s">
        <v>376</v>
      </c>
      <c r="M103" s="16">
        <v>76</v>
      </c>
      <c r="N103" s="16" t="s">
        <v>575</v>
      </c>
      <c r="O103" s="16" t="s">
        <v>685</v>
      </c>
      <c r="P103" s="16">
        <v>45</v>
      </c>
      <c r="Q103" s="16">
        <v>73000</v>
      </c>
      <c r="R103" s="10" t="s">
        <v>477</v>
      </c>
      <c r="S103" s="16">
        <v>200</v>
      </c>
      <c r="T103" s="15">
        <v>50</v>
      </c>
      <c r="U103" s="16">
        <v>37</v>
      </c>
      <c r="V103" s="16" t="s">
        <v>53</v>
      </c>
      <c r="W103" s="15">
        <v>30</v>
      </c>
      <c r="X103" s="16" t="s">
        <v>328</v>
      </c>
      <c r="Y103" s="15">
        <v>1285</v>
      </c>
      <c r="Z103" s="16" t="s">
        <v>808</v>
      </c>
      <c r="AA103" s="15">
        <v>120</v>
      </c>
      <c r="AB103" s="16">
        <v>295</v>
      </c>
      <c r="AC103" s="16">
        <v>177</v>
      </c>
      <c r="AD103" s="15">
        <v>177</v>
      </c>
      <c r="AE103" s="16" t="s">
        <v>814</v>
      </c>
      <c r="AF103" s="15">
        <v>58</v>
      </c>
      <c r="AG103" s="10" t="s">
        <v>564</v>
      </c>
      <c r="AH103" s="16">
        <v>60</v>
      </c>
      <c r="AI103" s="15">
        <v>51</v>
      </c>
      <c r="AJ103" s="16" t="s">
        <v>202</v>
      </c>
      <c r="AK103" s="16">
        <v>6</v>
      </c>
      <c r="AL103" s="16" t="s">
        <v>267</v>
      </c>
      <c r="AM103" s="16">
        <v>130</v>
      </c>
      <c r="AN103" s="30" t="s">
        <v>66</v>
      </c>
    </row>
    <row r="104" spans="2:40">
      <c r="B104" s="57"/>
      <c r="C104" s="15" t="s">
        <v>815</v>
      </c>
      <c r="D104" s="15" t="s">
        <v>816</v>
      </c>
      <c r="E104" s="16">
        <v>1000</v>
      </c>
      <c r="F104" s="16">
        <v>900</v>
      </c>
      <c r="G104" s="15" t="s">
        <v>813</v>
      </c>
      <c r="H104" s="15" t="s">
        <v>807</v>
      </c>
      <c r="I104" s="15">
        <v>50</v>
      </c>
      <c r="J104" s="16" t="s">
        <v>324</v>
      </c>
      <c r="K104" s="16">
        <v>78</v>
      </c>
      <c r="L104" s="15" t="s">
        <v>376</v>
      </c>
      <c r="M104" s="16">
        <v>76</v>
      </c>
      <c r="N104" s="16" t="s">
        <v>575</v>
      </c>
      <c r="O104" s="16" t="s">
        <v>685</v>
      </c>
      <c r="P104" s="16">
        <v>45</v>
      </c>
      <c r="Q104" s="16">
        <v>73000</v>
      </c>
      <c r="R104" s="10" t="s">
        <v>477</v>
      </c>
      <c r="S104" s="16">
        <v>200</v>
      </c>
      <c r="T104" s="15">
        <v>50</v>
      </c>
      <c r="U104" s="16">
        <v>37</v>
      </c>
      <c r="V104" s="16" t="s">
        <v>53</v>
      </c>
      <c r="W104" s="15">
        <v>30</v>
      </c>
      <c r="X104" s="16" t="s">
        <v>328</v>
      </c>
      <c r="Y104" s="15">
        <v>1285</v>
      </c>
      <c r="Z104" s="16" t="s">
        <v>808</v>
      </c>
      <c r="AA104" s="15">
        <v>120</v>
      </c>
      <c r="AB104" s="16">
        <v>276</v>
      </c>
      <c r="AC104" s="16">
        <v>152</v>
      </c>
      <c r="AD104" s="15">
        <v>152</v>
      </c>
      <c r="AE104" s="16" t="s">
        <v>817</v>
      </c>
      <c r="AF104" s="15">
        <v>55</v>
      </c>
      <c r="AG104" s="10" t="s">
        <v>564</v>
      </c>
      <c r="AH104" s="16">
        <v>55</v>
      </c>
      <c r="AI104" s="15">
        <v>43</v>
      </c>
      <c r="AJ104" s="16" t="s">
        <v>818</v>
      </c>
      <c r="AK104" s="16">
        <v>6</v>
      </c>
      <c r="AL104" s="16" t="s">
        <v>267</v>
      </c>
      <c r="AM104" s="16">
        <v>130</v>
      </c>
      <c r="AN104" s="30" t="s">
        <v>66</v>
      </c>
    </row>
    <row r="105" spans="2:40">
      <c r="B105" s="57"/>
      <c r="C105" s="15" t="s">
        <v>819</v>
      </c>
      <c r="D105" s="15" t="s">
        <v>820</v>
      </c>
      <c r="E105" s="16">
        <v>1000</v>
      </c>
      <c r="F105" s="16">
        <v>900</v>
      </c>
      <c r="G105" s="15" t="s">
        <v>813</v>
      </c>
      <c r="H105" s="15" t="s">
        <v>807</v>
      </c>
      <c r="I105" s="15">
        <v>50</v>
      </c>
      <c r="J105" s="16" t="s">
        <v>324</v>
      </c>
      <c r="K105" s="16">
        <v>78</v>
      </c>
      <c r="L105" s="15" t="s">
        <v>376</v>
      </c>
      <c r="M105" s="16">
        <v>76</v>
      </c>
      <c r="N105" s="16" t="s">
        <v>575</v>
      </c>
      <c r="O105" s="16" t="s">
        <v>685</v>
      </c>
      <c r="P105" s="16">
        <v>45</v>
      </c>
      <c r="Q105" s="16">
        <v>73000</v>
      </c>
      <c r="R105" s="10" t="s">
        <v>477</v>
      </c>
      <c r="S105" s="16">
        <v>200</v>
      </c>
      <c r="T105" s="15">
        <v>50</v>
      </c>
      <c r="U105" s="16">
        <v>37</v>
      </c>
      <c r="V105" s="16" t="s">
        <v>53</v>
      </c>
      <c r="W105" s="15">
        <v>30</v>
      </c>
      <c r="X105" s="16" t="s">
        <v>328</v>
      </c>
      <c r="Y105" s="15">
        <v>1285</v>
      </c>
      <c r="Z105" s="16" t="s">
        <v>808</v>
      </c>
      <c r="AA105" s="15">
        <v>120</v>
      </c>
      <c r="AB105" s="16">
        <v>283</v>
      </c>
      <c r="AC105" s="16">
        <v>170</v>
      </c>
      <c r="AD105" s="15">
        <v>170</v>
      </c>
      <c r="AE105" s="16" t="s">
        <v>809</v>
      </c>
      <c r="AF105" s="15">
        <v>56</v>
      </c>
      <c r="AG105" s="10" t="s">
        <v>564</v>
      </c>
      <c r="AH105" s="16">
        <v>60</v>
      </c>
      <c r="AI105" s="15">
        <v>49</v>
      </c>
      <c r="AJ105" s="16" t="s">
        <v>821</v>
      </c>
      <c r="AK105" s="16">
        <v>6</v>
      </c>
      <c r="AL105" s="16" t="s">
        <v>163</v>
      </c>
      <c r="AM105" s="16">
        <v>130</v>
      </c>
      <c r="AN105" s="30" t="s">
        <v>66</v>
      </c>
    </row>
    <row r="106" spans="2:40">
      <c r="B106" s="57"/>
      <c r="C106" s="15" t="s">
        <v>822</v>
      </c>
      <c r="D106" s="15" t="s">
        <v>823</v>
      </c>
      <c r="E106" s="16">
        <v>1000</v>
      </c>
      <c r="F106" s="16">
        <v>900</v>
      </c>
      <c r="G106" s="15" t="s">
        <v>824</v>
      </c>
      <c r="H106" s="15" t="s">
        <v>807</v>
      </c>
      <c r="I106" s="15">
        <v>50</v>
      </c>
      <c r="J106" s="16" t="s">
        <v>324</v>
      </c>
      <c r="K106" s="16">
        <v>78</v>
      </c>
      <c r="L106" s="15" t="s">
        <v>376</v>
      </c>
      <c r="M106" s="16">
        <v>76</v>
      </c>
      <c r="N106" s="16" t="s">
        <v>575</v>
      </c>
      <c r="O106" s="16" t="s">
        <v>685</v>
      </c>
      <c r="P106" s="16">
        <v>45</v>
      </c>
      <c r="Q106" s="16">
        <v>73000</v>
      </c>
      <c r="R106" s="10" t="s">
        <v>477</v>
      </c>
      <c r="S106" s="16">
        <v>200</v>
      </c>
      <c r="T106" s="15">
        <v>50</v>
      </c>
      <c r="U106" s="16">
        <v>37</v>
      </c>
      <c r="V106" s="16" t="s">
        <v>53</v>
      </c>
      <c r="W106" s="15">
        <v>30</v>
      </c>
      <c r="X106" s="16" t="s">
        <v>328</v>
      </c>
      <c r="Y106" s="15">
        <v>1285</v>
      </c>
      <c r="Z106" s="16" t="s">
        <v>808</v>
      </c>
      <c r="AA106" s="15">
        <v>120</v>
      </c>
      <c r="AB106" s="16">
        <v>276</v>
      </c>
      <c r="AC106" s="16">
        <v>160</v>
      </c>
      <c r="AD106" s="15">
        <v>160</v>
      </c>
      <c r="AE106" s="16" t="s">
        <v>809</v>
      </c>
      <c r="AF106" s="15">
        <v>56</v>
      </c>
      <c r="AG106" s="10" t="s">
        <v>564</v>
      </c>
      <c r="AH106" s="16">
        <v>58</v>
      </c>
      <c r="AI106" s="15">
        <v>46</v>
      </c>
      <c r="AJ106" s="16" t="s">
        <v>810</v>
      </c>
      <c r="AK106" s="16">
        <v>6</v>
      </c>
      <c r="AL106" s="16" t="s">
        <v>267</v>
      </c>
      <c r="AM106" s="16">
        <v>130</v>
      </c>
      <c r="AN106" s="30" t="s">
        <v>66</v>
      </c>
    </row>
    <row r="107" spans="2:40">
      <c r="B107" s="58"/>
      <c r="C107" s="32" t="s">
        <v>825</v>
      </c>
      <c r="D107" s="32" t="s">
        <v>823</v>
      </c>
      <c r="E107" s="31">
        <v>1000</v>
      </c>
      <c r="F107" s="31">
        <v>900</v>
      </c>
      <c r="G107" s="32" t="s">
        <v>824</v>
      </c>
      <c r="H107" s="32" t="s">
        <v>807</v>
      </c>
      <c r="I107" s="32">
        <v>50</v>
      </c>
      <c r="J107" s="31" t="s">
        <v>324</v>
      </c>
      <c r="K107" s="31">
        <v>78</v>
      </c>
      <c r="L107" s="32" t="s">
        <v>376</v>
      </c>
      <c r="M107" s="31">
        <v>76</v>
      </c>
      <c r="N107" s="31" t="s">
        <v>575</v>
      </c>
      <c r="O107" s="31" t="s">
        <v>685</v>
      </c>
      <c r="P107" s="31">
        <v>45</v>
      </c>
      <c r="Q107" s="31">
        <v>73000</v>
      </c>
      <c r="R107" s="31" t="s">
        <v>477</v>
      </c>
      <c r="S107" s="31">
        <v>200</v>
      </c>
      <c r="T107" s="32">
        <v>50</v>
      </c>
      <c r="U107" s="31">
        <v>37</v>
      </c>
      <c r="V107" s="31" t="s">
        <v>53</v>
      </c>
      <c r="W107" s="32">
        <v>30</v>
      </c>
      <c r="X107" s="31" t="s">
        <v>328</v>
      </c>
      <c r="Y107" s="32">
        <v>1285</v>
      </c>
      <c r="Z107" s="31" t="s">
        <v>808</v>
      </c>
      <c r="AA107" s="32">
        <v>120</v>
      </c>
      <c r="AB107" s="31">
        <v>279</v>
      </c>
      <c r="AC107" s="31">
        <v>162</v>
      </c>
      <c r="AD107" s="32">
        <v>162</v>
      </c>
      <c r="AE107" s="31" t="s">
        <v>809</v>
      </c>
      <c r="AF107" s="32">
        <v>56</v>
      </c>
      <c r="AG107" s="32" t="s">
        <v>564</v>
      </c>
      <c r="AH107" s="31">
        <v>58</v>
      </c>
      <c r="AI107" s="32">
        <v>46</v>
      </c>
      <c r="AJ107" s="31" t="s">
        <v>826</v>
      </c>
      <c r="AK107" s="31">
        <v>6</v>
      </c>
      <c r="AL107" s="31" t="s">
        <v>267</v>
      </c>
      <c r="AM107" s="31">
        <v>130</v>
      </c>
      <c r="AN107" s="33" t="s">
        <v>66</v>
      </c>
    </row>
    <row r="108" spans="2:40">
      <c r="R108" s="2"/>
    </row>
    <row r="134" spans="2:2">
      <c r="B134" s="3"/>
    </row>
    <row r="135" spans="2:2">
      <c r="B135" s="3"/>
    </row>
    <row r="136" spans="2:2">
      <c r="B136" s="3"/>
    </row>
    <row r="137" spans="2:2">
      <c r="B137" s="3"/>
    </row>
    <row r="138" spans="2:2">
      <c r="B138" s="3"/>
    </row>
    <row r="140" spans="2:2">
      <c r="B140" s="3"/>
    </row>
    <row r="158" spans="2:2" ht="29.25">
      <c r="B158" s="3" t="s">
        <v>827</v>
      </c>
    </row>
  </sheetData>
  <mergeCells count="23">
    <mergeCell ref="B102:B107"/>
    <mergeCell ref="B94:B97"/>
    <mergeCell ref="B98:B101"/>
    <mergeCell ref="B69:B71"/>
    <mergeCell ref="B72:B93"/>
    <mergeCell ref="B53:B55"/>
    <mergeCell ref="B43:B47"/>
    <mergeCell ref="B49:B52"/>
    <mergeCell ref="B57:B63"/>
    <mergeCell ref="B64:B68"/>
    <mergeCell ref="B39:B42"/>
    <mergeCell ref="B33:B35"/>
    <mergeCell ref="B24:B25"/>
    <mergeCell ref="B36:B38"/>
    <mergeCell ref="B30:B32"/>
    <mergeCell ref="B26:B29"/>
    <mergeCell ref="AO3:AQ7"/>
    <mergeCell ref="B14:B16"/>
    <mergeCell ref="B10:B13"/>
    <mergeCell ref="B17:B18"/>
    <mergeCell ref="B19:B23"/>
    <mergeCell ref="B8:B9"/>
    <mergeCell ref="B3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2025-09-03T13:08:56Z</dcterms:created>
  <dcterms:modified xsi:type="dcterms:W3CDTF">2025-10-19T19:34:46Z</dcterms:modified>
  <cp:category/>
  <cp:contentStatus/>
</cp:coreProperties>
</file>